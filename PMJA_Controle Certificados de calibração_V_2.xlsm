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5037E369-622F-4C58-91DA-097EE97ADE22}" xr6:coauthVersionLast="47" xr6:coauthVersionMax="47" xr10:uidLastSave="{00000000-0000-0000-0000-000000000000}"/>
  <bookViews>
    <workbookView xWindow="-12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/>
  <c r="K5" i="1"/>
  <c r="L5" i="1" s="1"/>
  <c r="K6" i="1"/>
  <c r="L6" i="1" s="1"/>
  <c r="K7" i="1"/>
  <c r="L7" i="1" s="1"/>
  <c r="K8" i="1"/>
  <c r="L8" i="1"/>
  <c r="K9" i="1"/>
  <c r="L9" i="1" s="1"/>
  <c r="K10" i="1"/>
  <c r="L10" i="1" s="1"/>
  <c r="K11" i="1"/>
  <c r="L11" i="1" s="1"/>
  <c r="K12" i="1"/>
  <c r="L12" i="1"/>
  <c r="K13" i="1"/>
  <c r="L13" i="1" s="1"/>
  <c r="K14" i="1"/>
  <c r="L14" i="1" s="1"/>
  <c r="K15" i="1"/>
  <c r="L15" i="1" s="1"/>
  <c r="K16" i="1"/>
  <c r="L16" i="1"/>
  <c r="K17" i="1"/>
  <c r="L17" i="1" s="1"/>
  <c r="K18" i="1"/>
  <c r="L18" i="1" s="1"/>
  <c r="K19" i="1"/>
  <c r="L19" i="1" s="1"/>
  <c r="K20" i="1"/>
  <c r="L20" i="1"/>
  <c r="K21" i="1"/>
  <c r="L21" i="1" s="1"/>
  <c r="K22" i="1"/>
  <c r="L22" i="1" s="1"/>
  <c r="K23" i="1"/>
  <c r="L23" i="1" s="1"/>
  <c r="K24" i="1"/>
  <c r="L24" i="1"/>
  <c r="K25" i="1"/>
  <c r="L25" i="1" s="1"/>
  <c r="K26" i="1"/>
  <c r="L26" i="1" s="1"/>
  <c r="K27" i="1"/>
  <c r="L27" i="1" s="1"/>
  <c r="K28" i="1"/>
  <c r="L28" i="1"/>
  <c r="K29" i="1"/>
  <c r="L29" i="1" s="1"/>
  <c r="K30" i="1"/>
  <c r="L30" i="1" s="1"/>
  <c r="K31" i="1"/>
  <c r="L31" i="1" s="1"/>
  <c r="K32" i="1"/>
  <c r="L32" i="1"/>
  <c r="K33" i="1"/>
  <c r="L33" i="1" s="1"/>
  <c r="K34" i="1"/>
  <c r="L34" i="1" s="1"/>
  <c r="K35" i="1"/>
  <c r="L35" i="1" s="1"/>
  <c r="K36" i="1"/>
  <c r="L36" i="1"/>
  <c r="K37" i="1"/>
  <c r="L37" i="1" s="1"/>
  <c r="K38" i="1"/>
  <c r="L38" i="1" s="1"/>
  <c r="K39" i="1"/>
  <c r="L39" i="1" s="1"/>
  <c r="K40" i="1"/>
  <c r="L40" i="1" s="1"/>
  <c r="K41" i="1"/>
  <c r="L41" i="1"/>
  <c r="K42" i="1"/>
  <c r="L42" i="1"/>
  <c r="K43" i="1"/>
  <c r="L43" i="1" s="1"/>
  <c r="K44" i="1"/>
  <c r="L44" i="1" s="1"/>
  <c r="K45" i="1"/>
  <c r="L45" i="1"/>
  <c r="K46" i="1"/>
  <c r="L46" i="1"/>
  <c r="K47" i="1"/>
  <c r="L47" i="1" s="1"/>
  <c r="K48" i="1"/>
  <c r="L48" i="1" s="1"/>
  <c r="K49" i="1"/>
  <c r="L49" i="1"/>
  <c r="K50" i="1"/>
  <c r="L50" i="1"/>
  <c r="K51" i="1"/>
  <c r="L51" i="1" s="1"/>
  <c r="K52" i="1"/>
  <c r="L52" i="1" s="1"/>
  <c r="K53" i="1"/>
  <c r="L53" i="1"/>
  <c r="K54" i="1"/>
  <c r="L54" i="1"/>
  <c r="K55" i="1"/>
  <c r="L55" i="1" s="1"/>
  <c r="K56" i="1"/>
  <c r="L56" i="1" s="1"/>
  <c r="K57" i="1"/>
  <c r="L57" i="1"/>
  <c r="K58" i="1"/>
  <c r="L58" i="1" s="1"/>
  <c r="K59" i="1"/>
  <c r="L59" i="1"/>
  <c r="K60" i="1"/>
  <c r="L60" i="1"/>
  <c r="K61" i="1"/>
  <c r="L61" i="1"/>
  <c r="K62" i="1"/>
  <c r="L62" i="1" s="1"/>
  <c r="K63" i="1"/>
  <c r="L63" i="1"/>
  <c r="K64" i="1"/>
  <c r="L64" i="1"/>
  <c r="K65" i="1"/>
  <c r="L65" i="1"/>
  <c r="K66" i="1"/>
  <c r="L66" i="1" s="1"/>
  <c r="K67" i="1"/>
  <c r="L67" i="1"/>
  <c r="K68" i="1"/>
  <c r="L68" i="1"/>
  <c r="K69" i="1"/>
  <c r="L69" i="1"/>
  <c r="K70" i="1"/>
  <c r="L70" i="1" s="1"/>
  <c r="K71" i="1"/>
  <c r="L71" i="1"/>
  <c r="K72" i="1"/>
  <c r="L72" i="1"/>
  <c r="K73" i="1"/>
  <c r="L73" i="1"/>
  <c r="K74" i="1"/>
  <c r="L74" i="1" s="1"/>
  <c r="K75" i="1"/>
  <c r="L75" i="1"/>
  <c r="K76" i="1"/>
  <c r="L76" i="1"/>
  <c r="K77" i="1"/>
  <c r="L77" i="1"/>
  <c r="K78" i="1"/>
  <c r="L78" i="1" s="1"/>
  <c r="K79" i="1"/>
  <c r="L79" i="1"/>
  <c r="K80" i="1"/>
  <c r="L80" i="1"/>
  <c r="K81" i="1"/>
  <c r="L81" i="1"/>
  <c r="K82" i="1"/>
  <c r="L82" i="1" s="1"/>
  <c r="K83" i="1"/>
  <c r="L83" i="1"/>
  <c r="K84" i="1"/>
  <c r="L84" i="1"/>
  <c r="K85" i="1"/>
  <c r="L85" i="1"/>
  <c r="K86" i="1"/>
  <c r="L86" i="1" s="1"/>
  <c r="K87" i="1"/>
  <c r="L87" i="1"/>
  <c r="K88" i="1"/>
  <c r="L88" i="1"/>
  <c r="K89" i="1"/>
  <c r="L89" i="1"/>
  <c r="K90" i="1"/>
  <c r="L90" i="1" s="1"/>
  <c r="K91" i="1"/>
  <c r="L91" i="1"/>
  <c r="K92" i="1"/>
  <c r="L92" i="1"/>
  <c r="K93" i="1"/>
  <c r="L93" i="1"/>
  <c r="K94" i="1"/>
  <c r="L94" i="1" s="1"/>
  <c r="K95" i="1"/>
  <c r="L95" i="1" s="1"/>
  <c r="K96" i="1"/>
  <c r="L96" i="1" s="1"/>
  <c r="K97" i="1"/>
  <c r="L97" i="1" s="1"/>
  <c r="K98" i="1"/>
  <c r="L98" i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/>
  <c r="K106" i="1"/>
  <c r="L106" i="1" s="1"/>
  <c r="K107" i="1"/>
  <c r="L107" i="1" s="1"/>
  <c r="K108" i="1"/>
  <c r="L108" i="1" s="1"/>
  <c r="K109" i="1"/>
  <c r="L109" i="1"/>
  <c r="K110" i="1"/>
  <c r="L110" i="1"/>
  <c r="K111" i="1"/>
  <c r="L111" i="1" s="1"/>
  <c r="K112" i="1"/>
  <c r="L112" i="1" s="1"/>
  <c r="K113" i="1"/>
  <c r="L113" i="1" s="1"/>
  <c r="K114" i="1"/>
  <c r="L114" i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/>
  <c r="K122" i="1"/>
  <c r="L122" i="1" s="1"/>
  <c r="K123" i="1"/>
  <c r="L123" i="1" s="1"/>
  <c r="K124" i="1"/>
  <c r="L124" i="1" s="1"/>
  <c r="K125" i="1"/>
  <c r="L125" i="1"/>
  <c r="K126" i="1"/>
  <c r="L126" i="1"/>
  <c r="K127" i="1"/>
  <c r="L127" i="1" s="1"/>
  <c r="K128" i="1"/>
  <c r="L128" i="1" s="1"/>
  <c r="K129" i="1"/>
  <c r="L129" i="1" s="1"/>
  <c r="K130" i="1"/>
  <c r="L130" i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/>
  <c r="K138" i="1"/>
  <c r="L138" i="1" s="1"/>
  <c r="K139" i="1"/>
  <c r="L139" i="1" s="1"/>
  <c r="K140" i="1"/>
  <c r="L140" i="1" s="1"/>
  <c r="K141" i="1"/>
  <c r="L141" i="1"/>
  <c r="K142" i="1"/>
  <c r="L142" i="1"/>
  <c r="K143" i="1"/>
  <c r="L143" i="1" s="1"/>
  <c r="K144" i="1"/>
  <c r="L144" i="1" s="1"/>
  <c r="K145" i="1"/>
  <c r="L145" i="1" s="1"/>
  <c r="K146" i="1"/>
  <c r="L146" i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/>
  <c r="K154" i="1"/>
  <c r="L154" i="1" s="1"/>
  <c r="K155" i="1"/>
  <c r="L155" i="1" s="1"/>
  <c r="K156" i="1"/>
  <c r="L156" i="1" s="1"/>
  <c r="K157" i="1"/>
  <c r="L157" i="1"/>
  <c r="K158" i="1"/>
  <c r="L158" i="1"/>
  <c r="K159" i="1"/>
  <c r="L159" i="1" s="1"/>
  <c r="K160" i="1"/>
  <c r="L160" i="1" s="1"/>
  <c r="K161" i="1"/>
  <c r="L161" i="1" s="1"/>
  <c r="K162" i="1"/>
  <c r="L162" i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/>
  <c r="K170" i="1"/>
  <c r="L170" i="1" s="1"/>
  <c r="K171" i="1"/>
  <c r="L171" i="1" s="1"/>
  <c r="K172" i="1"/>
  <c r="L172" i="1" s="1"/>
  <c r="K173" i="1"/>
  <c r="L173" i="1"/>
  <c r="K174" i="1"/>
  <c r="L174" i="1"/>
  <c r="K175" i="1"/>
  <c r="L175" i="1" s="1"/>
  <c r="K176" i="1"/>
  <c r="L176" i="1" s="1"/>
  <c r="K177" i="1"/>
  <c r="L177" i="1" s="1"/>
  <c r="K178" i="1"/>
  <c r="L178" i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/>
  <c r="K186" i="1"/>
  <c r="L186" i="1" s="1"/>
  <c r="K187" i="1"/>
  <c r="L187" i="1" s="1"/>
  <c r="K188" i="1"/>
  <c r="L188" i="1" s="1"/>
  <c r="K189" i="1"/>
  <c r="L189" i="1"/>
  <c r="K190" i="1"/>
  <c r="L190" i="1"/>
  <c r="K191" i="1"/>
  <c r="L191" i="1" s="1"/>
  <c r="K192" i="1"/>
  <c r="L192" i="1" s="1"/>
  <c r="K193" i="1"/>
  <c r="L193" i="1" s="1"/>
  <c r="K194" i="1"/>
  <c r="L194" i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<sst xmlns="http://schemas.openxmlformats.org/spreadsheetml/2006/main" count="2720" uniqueCount="1335">
  <si>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</si>
  <si>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</si>
  <si>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</si>
  <si>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</si>
  <si>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</si>
  <si>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</si>
  <si>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</si>
  <si>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</si>
  <si>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</si>
  <si>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</si>
  <si>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</si>
  <si>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</si>
  <si>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</si>
  <si>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</si>
  <si>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</si>
  <si>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</si>
  <si>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</si>
  <si>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</si>
  <si>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</si>
  <si>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</si>
  <si>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</si>
  <si>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</si>
  <si>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</si>
  <si>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</si>
  <si>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</si>
  <si>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</si>
  <si>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</si>
  <si>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</si>
  <si>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</si>
  <si>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</si>
  <si>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</si>
  <si>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</si>
  <si>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</si>
  <si>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</si>
  <si>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</si>
  <si>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</si>
  <si>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</si>
  <si>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</si>
  <si>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</si>
  <si>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</si>
  <si>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</si>
  <si>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</si>
  <si>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</si>
  <si>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</si>
  <si>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</si>
  <si>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</si>
  <si>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</si>
  <si>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</si>
  <si>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</si>
  <si>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</si>
  <si>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</si>
  <si>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</si>
  <si>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</si>
  <si>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</si>
  <si>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</si>
  <si>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</si>
  <si>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</si>
  <si>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</si>
  <si>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</si>
  <si>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</si>
  <si>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</si>
  <si>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</si>
  <si>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</si>
  <si>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</si>
  <si>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</si>
  <si>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</si>
  <si>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</si>
  <si>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</si>
  <si>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</si>
  <si>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</si>
  <si>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</si>
  <si>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</si>
  <si>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</si>
  <si>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</si>
  <si>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</si>
  <si>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</si>
  <si>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</si>
  <si>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</si>
  <si>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</si>
  <si>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</si>
  <si>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</si>
  <si>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</si>
  <si>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</si>
  <si>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</si>
  <si>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</si>
  <si>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</si>
  <si>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</si>
  <si>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</si>
  <si>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</si>
  <si>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</si>
  <si>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</si>
  <si>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</si>
  <si>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</si>
  <si>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</si>
  <si>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</si>
  <si>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</si>
  <si>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</si>
  <si>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</si>
  <si>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</si>
  <si>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</si>
  <si>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</si>
  <si>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</si>
  <si>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</si>
  <si>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</si>
  <si>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</si>
  <si>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</si>
  <si>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</si>
  <si>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</si>
  <si>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</si>
  <si>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</si>
  <si>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</si>
  <si>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</si>
  <si>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</si>
  <si>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</si>
  <si>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</si>
  <si>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</si>
  <si>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</si>
  <si>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</si>
  <si>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</si>
  <si>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</si>
  <si>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</si>
  <si>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</si>
  <si>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</si>
  <si>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</si>
  <si>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</si>
  <si>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</si>
  <si>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</si>
  <si>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</si>
  <si>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</si>
  <si>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</si>
  <si>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</si>
  <si>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</si>
  <si>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</si>
  <si>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</si>
  <si>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</si>
  <si>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</si>
  <si>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</si>
  <si>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</si>
  <si>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</si>
  <si>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</si>
  <si>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</si>
  <si>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</si>
  <si>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</si>
  <si>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</si>
  <si>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</si>
  <si>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</si>
  <si>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</si>
  <si>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</si>
  <si>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</si>
  <si>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</si>
  <si>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</si>
  <si>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</si>
  <si>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</si>
  <si>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</si>
  <si>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</si>
  <si>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</si>
  <si>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</si>
  <si>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</si>
  <si>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</si>
  <si>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</si>
  <si>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</si>
  <si>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</si>
  <si>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</si>
  <si>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</si>
  <si>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</si>
  <si>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</si>
  <si>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</si>
  <si>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</si>
  <si>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</si>
  <si>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</si>
  <si>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</si>
  <si>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</si>
  <si>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</si>
  <si>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</si>
  <si>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</si>
  <si>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</si>
  <si>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</si>
  <si>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</si>
  <si>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</si>
  <si>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</si>
  <si>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</si>
  <si>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</si>
  <si>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</si>
  <si>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</si>
  <si>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</si>
  <si>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140281767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</si>
  <si>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</si>
  <si>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</si>
  <si>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</si>
  <si>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</si>
  <si>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</si>
  <si>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</si>
  <si>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</si>
  <si>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</si>
  <si>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</si>
  <si>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</si>
  <si>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</si>
  <si>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</si>
  <si>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</si>
  <si>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</si>
  <si>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</si>
  <si>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</si>
  <si>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</si>
  <si>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</si>
  <si>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</si>
  <si>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</si>
  <si>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</si>
  <si>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</si>
  <si>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</si>
  <si>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</si>
  <si>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</si>
  <si>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</si>
  <si>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</si>
  <si>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</si>
  <si>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</si>
  <si>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</si>
  <si>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</si>
  <si>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</si>
  <si>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</si>
  <si>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</si>
  <si>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</si>
  <si>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</si>
  <si>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</si>
  <si>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</si>
  <si>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</si>
  <si>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</si>
  <si>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</si>
  <si>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</si>
  <si>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</si>
  <si>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</si>
  <si>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</si>
  <si>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</si>
  <si>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</si>
  <si>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</si>
  <si>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</si>
  <si>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</si>
  <si>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</si>
  <si>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</si>
  <si>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</si>
  <si>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</si>
  <si>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</si>
  <si>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</si>
  <si>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</si>
  <si>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</si>
  <si>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</si>
  <si>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</si>
  <si>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</si>
  <si>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</si>
  <si>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</si>
  <si>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</si>
  <si>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</si>
  <si>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</si>
  <si>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</si>
  <si>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</si>
  <si>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</si>
  <si>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</si>
  <si>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</si>
  <si>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</si>
  <si>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</si>
  <si>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</si>
  <si>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</si>
  <si>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</si>
  <si>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</si>
  <si>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14037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</si>
  <si>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</si>
  <si>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</si>
  <si>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</si>
  <si>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</si>
  <si>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</si>
  <si>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</si>
  <si>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</si>
  <si>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</si>
  <si>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</si>
  <si>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</si>
  <si>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</si>
  <si>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</si>
  <si>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</si>
  <si>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</si>
  <si>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</si>
  <si>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</si>
  <si>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</si>
  <si>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</si>
  <si>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</si>
  <si>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</si>
  <si>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</si>
  <si>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</si>
  <si>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</si>
  <si>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</si>
  <si>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</si>
  <si>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</si>
  <si>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</si>
  <si>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</si>
  <si>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</si>
  <si>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</si>
  <si>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</si>
  <si>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</si>
  <si>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</si>
  <si>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1A18183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</si>
  <si>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</si>
  <si>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</si>
  <si>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</si>
  <si>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</si>
  <si>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</si>
  <si>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</si>
  <si>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</si>
  <si>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</si>
  <si>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</si>
  <si>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</si>
  <si>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</si>
  <si>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</si>
  <si>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</si>
  <si>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</si>
  <si>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</si>
  <si>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</si>
  <si>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</si>
  <si>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</si>
  <si>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</si>
  <si>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</si>
  <si>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</si>
  <si>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</si>
  <si>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https://drive.google.com/file/d/1b6TfEIJz7BbB8nyr-M4QQSfkMPjIYEHJ/view?usp=drive_link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</si>
  <si>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</si>
  <si>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</si>
  <si>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</si>
  <si>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</si>
  <si>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</si>
  <si>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</si>
  <si>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</si>
  <si>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</si>
  <si>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</si>
  <si>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</si>
  <si>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</si>
  <si>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</si>
  <si>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</si>
  <si>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</si>
  <si>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</si>
  <si>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</si>
  <si>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</si>
  <si>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</si>
  <si>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</si>
  <si>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</si>
  <si>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</si>
  <si>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</si>
  <si>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</si>
  <si>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</si>
  <si>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</si>
  <si>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</si>
  <si>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</si>
  <si>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</si>
  <si>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</si>
  <si>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</si>
  <si>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</si>
  <si>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</si>
  <si>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</si>
  <si>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</si>
  <si>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</si>
  <si>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</si>
  <si>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</si>
  <si>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</si>
  <si>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</si>
  <si>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</si>
  <si>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</si>
  <si>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</si>
  <si>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</si>
  <si>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</si>
  <si>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</si>
  <si>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</si>
  <si>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</si>
  <si>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</si>
  <si>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</si>
  <si>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</si>
  <si>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</si>
  <si>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</si>
  <si>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</si>
  <si>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</si>
  <si>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</si>
  <si>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</si>
  <si>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</si>
  <si>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</si>
  <si>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</si>
  <si>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</si>
  <si>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</si>
  <si>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</si>
  <si>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</si>
  <si>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</si>
  <si>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</si>
  <si>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</si>
  <si>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</si>
  <si>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</si>
  <si>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</si>
  <si>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</si>
  <si>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</si>
  <si>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</si>
  <si>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</si>
  <si>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</si>
  <si>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</si>
  <si>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</si>
  <si>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</si>
  <si>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</si>
  <si>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</si>
  <si>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</si>
  <si>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</si>
  <si>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</si>
  <si>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</si>
  <si>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</si>
  <si>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</si>
  <si>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</si>
  <si>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</si>
  <si>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</si>
  <si>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</si>
  <si>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</si>
  <si>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</si>
  <si>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</si>
  <si>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</si>
  <si>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</si>
  <si>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</si>
  <si>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</si>
  <si>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</si>
  <si>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</si>
  <si>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</si>
  <si>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</si>
  <si>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</si>
  <si>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</si>
  <si>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</si>
  <si>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</si>
  <si>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</si>
  <si>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</si>
  <si>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</si>
  <si>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</si>
  <si>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</si>
  <si>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</si>
  <si>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</si>
  <si>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</si>
  <si>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</si>
  <si>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</si>
  <si>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</si>
  <si>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</si>
  <si>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</si>
  <si>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</si>
  <si>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</si>
  <si>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</si>
  <si>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</si>
  <si>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</si>
  <si>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</si>
  <si>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</si>
  <si>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</si>
  <si>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</si>
  <si>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</si>
  <si>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</si>
  <si>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</si>
  <si>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</si>
  <si>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</si>
  <si>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</si>
  <si>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</si>
  <si>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</si>
  <si>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</si>
  <si>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</si>
  <si>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</si>
  <si>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</si>
  <si>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</si>
  <si>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</si>
  <si>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</si>
  <si>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</si>
  <si>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</si>
  <si>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</si>
  <si>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</si>
  <si>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</si>
  <si>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</si>
  <si>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</si>
  <si>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</si>
  <si>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</si>
  <si>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</si>
  <si>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</si>
  <si>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</si>
  <si>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</si>
  <si>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</si>
  <si>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</si>
  <si>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</si>
  <si>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</si>
  <si>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</si>
  <si>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</si>
  <si>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</si>
  <si>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</si>
  <si>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</si>
  <si>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</si>
  <si>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</si>
  <si>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</si>
  <si>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</si>
  <si>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</si>
  <si>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</si>
  <si>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</si>
  <si>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</si>
  <si>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</si>
  <si>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</si>
  <si>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</si>
  <si>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</si>
  <si>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</si>
  <si>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</si>
  <si>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https://drive.google.com/file/d/1uJ540-I6v7_Y9GrykHiQD9D5rnx8-4Gs/view?usp=drive_link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</si>
  <si>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</si>
  <si>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</si>
  <si>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</si>
  <si>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</si>
  <si>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</si>
  <si>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</si>
  <si>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</si>
  <si>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</si>
  <si>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</si>
  <si>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</si>
  <si>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</si>
  <si>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</si>
  <si>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</si>
  <si>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</si>
  <si>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</si>
  <si>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</si>
  <si>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</si>
  <si>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</si>
  <si>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</si>
  <si>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</si>
  <si>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</si>
  <si>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</si>
  <si>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</si>
  <si>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</si>
  <si>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</si>
  <si>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</si>
  <si>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</si>
  <si>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</si>
  <si>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</si>
  <si>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</si>
  <si>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</si>
  <si>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</si>
  <si>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</si>
  <si>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</si>
  <si>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</si>
  <si>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</si>
  <si>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</si>
  <si>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</si>
  <si>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</si>
  <si>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</si>
  <si>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</si>
  <si>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</si>
  <si>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</si>
  <si>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</si>
  <si>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</si>
  <si>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</si>
  <si>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</si>
  <si>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</si>
  <si>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</si>
  <si>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</si>
  <si>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</si>
  <si>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</si>
  <si>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</si>
  <si>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</si>
  <si>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</si>
  <si>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</si>
  <si>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</si>
  <si>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</si>
  <si>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</si>
  <si>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</si>
  <si>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</si>
  <si>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</si>
  <si>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</si>
  <si>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</si>
  <si>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</si>
  <si>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</si>
  <si>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</si>
  <si>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</si>
  <si>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</si>
  <si>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</si>
  <si>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</si>
  <si>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</si>
  <si>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</si>
  <si>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</si>
  <si>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</si>
  <si>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</si>
  <si>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</si>
  <si>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</si>
  <si>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</si>
  <si>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</si>
  <si>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</si>
  <si>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</si>
  <si>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</si>
  <si>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</si>
  <si>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</si>
  <si>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</si>
  <si>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</si>
  <si>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</si>
  <si>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</si>
  <si>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</si>
  <si>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</si>
  <si>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</si>
  <si>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</si>
  <si>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</si>
  <si>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</si>
  <si>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</si>
  <si>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</si>
  <si>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</si>
  <si>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</si>
  <si>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</si>
  <si>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</si>
  <si>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</si>
  <si>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</si>
  <si>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</si>
  <si>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</si>
  <si>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</si>
  <si>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</si>
  <si>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</si>
  <si>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</si>
  <si>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</si>
  <si>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</si>
  <si>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</si>
  <si>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</si>
  <si>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</si>
  <si>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</si>
  <si>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</si>
  <si>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</si>
  <si>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</si>
  <si>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</si>
  <si>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</si>
  <si>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</si>
  <si>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</si>
  <si>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</si>
  <si>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</si>
  <si>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</si>
  <si>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</si>
  <si>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</si>
  <si>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</si>
  <si>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</si>
  <si>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</si>
  <si>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</si>
  <si>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</si>
  <si>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</si>
  <si>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</si>
  <si>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</si>
  <si>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</si>
  <si>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</si>
  <si>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</si>
  <si>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</si>
  <si>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</si>
  <si>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</si>
  <si>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</si>
  <si>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</si>
  <si>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</si>
  <si>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</si>
  <si>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</si>
  <si>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</si>
  <si>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</si>
  <si>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</si>
  <si>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</si>
  <si>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</si>
  <si>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</si>
  <si>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</si>
  <si>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</si>
  <si>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</si>
  <si>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</si>
  <si>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</si>
  <si>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</si>
  <si>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</si>
  <si>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</si>
  <si>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</si>
  <si>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</si>
  <si>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</si>
  <si>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</si>
  <si>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</si>
  <si>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</si>
  <si>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</si>
  <si>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</si>
  <si>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</si>
  <si>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</si>
  <si>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</si>
  <si>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</si>
  <si>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</si>
  <si>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</si>
  <si>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</si>
  <si>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</si>
  <si>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</si>
  <si>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</si>
  <si>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</si>
  <si>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</si>
  <si>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</si>
  <si>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</si>
  <si>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</si>
  <si>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</si>
  <si>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</si>
  <si>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</si>
  <si>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</si>
  <si>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</si>
  <si>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</si>
  <si>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</si>
  <si>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</si>
  <si>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</si>
  <si>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</si>
  <si>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</si>
  <si>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</si>
  <si>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</si>
  <si>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</si>
  <si>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</si>
  <si>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</si>
  <si>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</si>
  <si>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</si>
  <si>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</si>
  <si>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</si>
  <si>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</si>
  <si>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</si>
  <si>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</si>
  <si>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</si>
  <si>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</si>
  <si>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</si>
  <si>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</si>
  <si>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</si>
  <si>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</si>
  <si>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</si>
  <si>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</si>
  <si>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</si>
  <si>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</si>
  <si>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</si>
  <si>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</si>
  <si>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</si>
  <si>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</si>
  <si>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</si>
  <si>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</si>
  <si>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</si>
  <si>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</si>
  <si>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</si>
  <si>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</si>
  <si>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</si>
  <si>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</si>
  <si>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</si>
  <si>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</si>
  <si>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Bancada de Medição</t>
  </si>
  <si>
    <t>Trimos</t>
  </si>
  <si>
    <t>HPA 1000</t>
  </si>
  <si>
    <t>0-1050 mm</t>
  </si>
  <si>
    <t>0,0001 mm</t>
  </si>
  <si>
    <t>62246/25</t>
  </si>
  <si>
    <t>Incerteza declarada da bancada</t>
  </si>
  <si>
    <t>Blocos Padrão (Mitutoyo), Barras Padrão.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</si>
  <si>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</si>
  <si>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</si>
  <si>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</si>
  <si>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</si>
  <si>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</si>
  <si>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</si>
  <si>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</si>
  <si>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</si>
  <si>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</si>
  <si>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</si>
  <si>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</si>
  <si>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</si>
  <si>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</si>
  <si>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</si>
  <si>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</si>
  <si>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</si>
  <si>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</si>
  <si>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</si>
  <si>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</si>
  <si>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</si>
  <si>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</si>
  <si>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</si>
  <si>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</si>
  <si>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</si>
  <si>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</si>
  <si>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</si>
  <si>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</si>
  <si>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</si>
  <si>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</si>
  <si>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</si>
  <si>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</si>
  <si>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</si>
  <si>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</si>
  <si>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</si>
  <si>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</si>
  <si>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</si>
  <si>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</si>
  <si>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</si>
  <si>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</si>
  <si>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</si>
  <si>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</si>
  <si>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</si>
  <si>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</si>
  <si>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</si>
  <si>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</si>
  <si>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</si>
  <si>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</si>
  <si>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</si>
  <si>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</si>
  <si>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</si>
  <si>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</si>
  <si>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</si>
  <si>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</si>
  <si>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</si>
  <si>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</si>
  <si>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</si>
  <si>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</si>
  <si>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</si>
  <si>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</si>
  <si>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</si>
  <si>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</si>
  <si>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</si>
  <si>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</si>
  <si>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</si>
  <si>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</si>
  <si>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</si>
  <si>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</si>
  <si>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</si>
  <si>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</si>
  <si>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</si>
  <si>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</si>
  <si>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</si>
  <si>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</si>
  <si>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</si>
  <si>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</si>
  <si>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</si>
  <si>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</si>
  <si>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</si>
  <si>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</si>
  <si>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</si>
  <si>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</si>
  <si>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</si>
  <si>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</si>
  <si>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</si>
  <si>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</si>
  <si>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</si>
  <si>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</si>
  <si>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</si>
  <si>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</si>
  <si>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</si>
  <si>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</si>
  <si>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</si>
  <si>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</si>
  <si>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</si>
  <si>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</si>
  <si>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</si>
  <si>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</si>
  <si>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</si>
  <si>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</si>
  <si>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</si>
  <si>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</si>
  <si>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</si>
  <si>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</si>
  <si>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</si>
  <si>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</si>
  <si>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</si>
  <si>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</si>
  <si>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</si>
  <si>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</si>
  <si>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</si>
  <si>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</si>
  <si>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</si>
  <si>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</si>
  <si>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</si>
  <si>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</si>
  <si>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</si>
  <si>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</si>
  <si>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</si>
  <si>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</si>
  <si>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</si>
  <si>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</si>
  <si>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</si>
  <si>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</si>
  <si>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</si>
  <si>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</si>
  <si>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</si>
  <si>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</si>
  <si>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</si>
  <si>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</si>
  <si>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</si>
  <si>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</si>
  <si>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</si>
  <si>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</si>
  <si>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</si>
  <si>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</si>
  <si>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</si>
  <si>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</si>
  <si>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</si>
  <si>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</si>
  <si>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</si>
  <si>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</si>
  <si>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</si>
  <si>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</si>
  <si>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</si>
  <si>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</si>
  <si>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</si>
  <si>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</si>
  <si>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</si>
  <si>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</si>
  <si>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</si>
  <si>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</si>
  <si>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</si>
  <si>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</si>
  <si>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</si>
  <si>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</si>
  <si>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</si>
  <si>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</si>
  <si>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</si>
  <si>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</si>
  <si>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</si>
  <si>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</si>
  <si>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</si>
  <si>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</si>
  <si>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</si>
  <si>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</si>
  <si>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</si>
  <si>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</si>
  <si>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</si>
  <si>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</si>
  <si>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</si>
  <si>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</si>
  <si>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</si>
  <si>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</si>
  <si>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</si>
  <si>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</si>
  <si>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</si>
  <si>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</si>
  <si>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</si>
  <si>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</si>
  <si>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</si>
  <si>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</si>
  <si>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</si>
  <si>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</si>
  <si>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</si>
  <si>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</si>
  <si>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</si>
  <si>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</si>
  <si>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</si>
  <si>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</si>
  <si>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</si>
  <si>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</si>
  <si>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</si>
  <si>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</si>
  <si>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</si>
  <si>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</si>
  <si>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</si>
  <si>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</si>
  <si>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</si>
  <si>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</si>
  <si>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</si>
  <si>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</si>
  <si>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</si>
  <si>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</si>
  <si>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</si>
  <si>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</si>
  <si>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</si>
  <si>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</si>
  <si>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</si>
  <si>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</si>
  <si>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</si>
  <si>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</si>
  <si>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</si>
  <si>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</si>
  <si>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</si>
  <si>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</si>
  <si>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</si>
  <si>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</si>
  <si>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</si>
  <si>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</si>
  <si>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</si>
  <si>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</si>
  <si>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</si>
  <si>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</si>
  <si>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</si>
  <si>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</si>
  <si>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</si>
  <si>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</si>
  <si>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</si>
  <si>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</si>
  <si>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</si>
  <si>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</si>
  <si>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</si>
  <si>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</si>
  <si>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</si>
  <si>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</si>
  <si>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</si>
  <si>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</si>
  <si>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</si>
  <si>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</si>
  <si>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</si>
  <si>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</si>
  <si>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</si>
  <si>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</si>
  <si>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</si>
  <si>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</si>
  <si>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</si>
  <si>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</si>
  <si>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</si>
  <si>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</si>
  <si>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</si>
  <si>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</si>
  <si>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</si>
  <si>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</si>
  <si>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</si>
  <si>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</si>
  <si>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</si>
  <si>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</si>
  <si>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</si>
  <si>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</si>
  <si>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</si>
  <si>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</si>
  <si>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</si>
  <si>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</si>
  <si>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</si>
  <si>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</si>
  <si>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</si>
  <si>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</si>
  <si>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</si>
  <si>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</si>
  <si>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</si>
  <si>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</si>
  <si>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</si>
  <si>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</si>
  <si>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</si>
  <si>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</si>
  <si>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</si>
  <si>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</si>
  <si>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</si>
  <si>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</si>
  <si>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</si>
  <si>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</si>
  <si>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</si>
  <si>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</si>
  <si>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</si>
  <si>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</si>
  <si>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</si>
  <si>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</si>
  <si>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</si>
  <si>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</si>
  <si>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</si>
  <si>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</si>
  <si>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</si>
  <si>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</si>
  <si>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</si>
  <si>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</si>
  <si>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</si>
  <si>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</si>
  <si>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</si>
  <si>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</si>
  <si>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</si>
  <si>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</si>
  <si>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</si>
  <si>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</si>
  <si>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</si>
  <si>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</si>
  <si>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</si>
  <si>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</si>
  <si>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</si>
  <si>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</si>
  <si>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</si>
  <si>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</si>
  <si>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</si>
  <si>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</si>
  <si>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</si>
  <si>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</si>
  <si>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</si>
  <si>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</si>
  <si>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</si>
  <si>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</si>
  <si>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</si>
  <si>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</si>
  <si>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</si>
  <si>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</si>
  <si>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</si>
  <si>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</si>
  <si>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</si>
  <si>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</si>
  <si>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</si>
  <si>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</si>
  <si>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</si>
  <si>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</si>
  <si>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</si>
  <si>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</si>
  <si>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</si>
  <si>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</si>
  <si>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</si>
  <si>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</si>
  <si>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</si>
  <si>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</si>
  <si>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</si>
  <si>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</si>
  <si>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</si>
  <si>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</si>
  <si>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</si>
  <si>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</si>
  <si>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</si>
  <si>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</si>
  <si>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</si>
  <si>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</si>
  <si>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</si>
  <si>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</si>
  <si>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</si>
  <si>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</si>
  <si>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</si>
  <si>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</si>
  <si>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</si>
  <si>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</si>
  <si>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</si>
  <si>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</si>
  <si>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</si>
  <si>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</si>
  <si>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</si>
  <si>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</si>
  <si>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</si>
  <si>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</si>
  <si>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</si>
  <si>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</si>
  <si>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</si>
  <si>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</si>
  <si>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</si>
  <si>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</si>
  <si>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</si>
  <si>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</si>
  <si>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</si>
  <si>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</si>
  <si>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</si>
  <si>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</si>
  <si>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</si>
  <si>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</si>
  <si>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</si>
  <si>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</si>
  <si>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</si>
  <si>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</si>
  <si>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</si>
  <si>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</si>
  <si>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</si>
  <si>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</si>
  <si>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</si>
  <si>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</si>
  <si>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</si>
  <si>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</si>
  <si>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</si>
  <si>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</si>
  <si>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</si>
  <si>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</si>
  <si>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</si>
  <si>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</si>
  <si>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</si>
  <si>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</si>
  <si>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</si>
  <si>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</si>
  <si>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</si>
  <si>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</si>
  <si>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</si>
  <si>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</si>
  <si>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</si>
  <si>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</si>
  <si>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</si>
  <si>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</si>
  <si>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</si>
  <si>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</si>
  <si>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</si>
  <si>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</si>
  <si>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</si>
  <si>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</si>
  <si>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</si>
  <si>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</si>
  <si>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</si>
  <si>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</si>
  <si>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</si>
  <si>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</si>
  <si>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</si>
  <si>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</si>
  <si>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</si>
  <si>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</si>
  <si>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</si>
  <si>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</si>
  <si>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</si>
  <si>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</si>
  <si>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</si>
  <si>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</si>
  <si>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</si>
  <si>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</si>
  <si>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</si>
  <si>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</si>
  <si>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</si>
  <si>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</si>
  <si>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</si>
  <si>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</si>
  <si>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</si>
  <si>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</si>
  <si>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</si>
  <si>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</si>
  <si>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</si>
  <si>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</si>
  <si>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</si>
  <si>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</si>
  <si>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</si>
  <si>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</si>
  <si>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</si>
  <si>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</si>
  <si>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</si>
  <si>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</si>
  <si>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</si>
  <si>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</si>
  <si>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</si>
  <si>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</si>
  <si>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</si>
  <si>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</si>
  <si>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</si>
  <si>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</si>
  <si>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</si>
  <si>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</si>
  <si>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</si>
  <si>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</si>
  <si>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</si>
  <si>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</si>
  <si>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</si>
  <si>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</si>
  <si>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</si>
  <si>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</si>
  <si>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</si>
  <si>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</si>
  <si>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</si>
  <si>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</si>
  <si>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</si>
  <si>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</si>
  <si>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</si>
  <si>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</si>
  <si>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</si>
  <si>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</si>
  <si>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</si>
  <si>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</si>
  <si>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</si>
  <si>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</si>
  <si>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</si>
  <si>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</si>
  <si>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</si>
  <si>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</si>
  <si>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</si>
  <si>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</si>
  <si>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</si>
  <si>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</si>
  <si>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</si>
  <si>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</si>
  <si>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</si>
  <si>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</si>
  <si>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</si>
  <si>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</si>
  <si>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</si>
  <si>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</si>
  <si>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</si>
  <si>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</si>
  <si>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</si>
  <si>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</si>
  <si>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</si>
  <si>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</si>
  <si>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Erro: -660 g / Incerteza: 10 g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</si>
  <si>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</si>
  <si>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</si>
  <si>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</si>
  <si>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</si>
  <si>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</si>
  <si>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</si>
  <si>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</si>
  <si>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</si>
  <si>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</si>
  <si>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</si>
  <si>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</si>
  <si>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</si>
  <si>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</si>
  <si>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</si>
  <si>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</si>
  <si>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</si>
  <si>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</si>
  <si>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</si>
  <si>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</si>
  <si>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</si>
  <si>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</si>
  <si>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</si>
  <si>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</si>
  <si>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</si>
  <si>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</si>
  <si>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</si>
  <si>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</si>
  <si>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</si>
  <si>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</si>
  <si>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</si>
  <si>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</si>
  <si>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</si>
  <si>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</si>
  <si>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</si>
  <si>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</si>
  <si>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</si>
  <si>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</si>
  <si>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</si>
  <si>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</si>
  <si>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</si>
  <si>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</si>
  <si>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</si>
  <si>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</si>
  <si>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</si>
  <si>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</si>
  <si>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</si>
  <si>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</si>
  <si>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</si>
  <si>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0 - 10Kg</t>
  </si>
  <si>
    <t>66516/25</t>
  </si>
  <si>
    <t>Erro Máx: -1,073 Kg / U=1,083 g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</si>
  <si>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</si>
  <si>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</si>
  <si>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</si>
  <si>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</si>
  <si>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</si>
  <si>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</si>
  <si>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</si>
  <si>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</si>
  <si>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</si>
  <si>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</si>
  <si>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</si>
  <si>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</si>
  <si>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</si>
  <si>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</si>
  <si>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</si>
  <si>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Erro: 2 g / Incerteza: 0,65 g</t>
  </si>
  <si>
    <t>66518/25</t>
  </si>
  <si>
    <t>Erro: 10 g / Incerteza: 10,65 g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</si>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</sst>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20" dataDxfId="19" tableBorderDxfId="18">
  <autoFilter ref="A1:R203" xr:uid="{914AFED5-0A41-4DF1-85F8-0E539BCD8F88}"/>
  <tableColumns count="18">
    <tableColumn id="1" xr3:uid="{BCA60223-C1EA-440D-A599-8D6B3DB97A4D}" name="Item" dataDxfId="17">
      <calculatedColumnFormula>ROW(Tabela1[[#This Row],[Toolbox No / Container No]])-1</calculatedColumnFormula>
    </tableColumn>
    <tableColumn id="2" xr3:uid="{A0C43500-5517-4F70-A20D-E954C3FA52A8}" name="Toolbox No / Container No" dataDxfId="16"/>
    <tableColumn id="3" xr3:uid="{1EBDA6DF-6D07-4876-89CB-90AFB6D0E409}" name="TIPO DE INSTRUMENTO" dataDxfId="15"/>
    <tableColumn id="4" xr3:uid="{4ABDA494-E9AB-40AF-A55A-5838981BCA25}" name="MARCA" dataDxfId="14"/>
    <tableColumn id="5" xr3:uid="{30173439-422D-497F-8D82-E79FD5CE4AE8}" name="MODELO" dataDxfId="13"/>
    <tableColumn id="7" xr3:uid="{3215F4DE-F9CD-4557-B7A9-B6B0D1589768}" name="CAPACIDADE" dataDxfId="12" dataCellStyle="Hiperlink"/>
    <tableColumn id="8" xr3:uid="{4E68A16B-DD84-40D3-A5C2-EBD81F1A665F}" name="RESOLUÇÃO" dataDxfId="11"/>
    <tableColumn id="9" xr3:uid="{DEAD498C-5E67-49A0-836A-CDE806CE450A}" name="N.º de série" dataDxfId="10">
      <calculatedColumnFormula>EDATE(Tabela1[[#This Row],[RESOLUÇÃO]],12)</calculatedColumnFormula>
    </tableColumn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6">
      <calculatedColumnFormula>INT(Tabela1[[#This Row],[Próxima data de calibração/certificação]]-TODAY())</calculatedColumnFormula>
    </tableColumn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b6TfEIJz7BbB8nyr-M4QQSfkMPjIYEHJ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table" Target="../tables/table1.xm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uJ540-I6v7_Y9GrykHiQD9D5rnx8-4Gs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topLeftCell="D1" workbookViewId="0">
      <pane ySplit="1" topLeftCell="A2" activePane="bottomLeft" state="frozen"/>
      <selection pane="bottomLeft" activeCell="R12" sqref="R12"/>
    </sheetView>
  </sheetViews>
  <sheetFormatPr defaultColWidth="8.85546875" defaultRowHeight="11.25" x14ac:dyDescent="0.25"/>
  <cols>
    <col min="1" max="1" width="8.85546875" style="7"/>
    <col min="2" max="2" width="10" style="7" customWidth="1"/>
    <col min="3" max="3" width="41.140625" style="2" customWidth="1"/>
    <col min="4" max="4" width="18.5703125" style="7" customWidth="1"/>
    <col min="5" max="5" width="10" style="7" customWidth="1"/>
    <col min="6" max="6" width="28.28515625" style="2" customWidth="1"/>
    <col min="7" max="7" width="23.5703125" style="7" customWidth="1"/>
    <col min="8" max="8" width="22.7109375" style="7" customWidth="1"/>
    <col min="9" max="9" width="22.85546875" style="7" customWidth="1"/>
    <col min="10" max="10" width="29.42578125" style="7" bestFit="1" customWidth="1"/>
    <col min="11" max="11" width="29.42578125" style="7" customWidth="1"/>
    <col min="12" max="12" width="26.7109375" style="7" customWidth="1"/>
    <col min="13" max="16384" width="8.85546875" style="7"/>
  </cols>
  <sheetData>
    <row r="1" spans="1:18" ht="27.6" customHeight="1" x14ac:dyDescent="0.25">
      <c r="A1" s="10" t="s">
        <v>0</v>
      </c>
      <c r="B1" s="11" t="s">
        <v>1</v>
      </c>
      <c r="C1" s="11" t="s">
        <v>573</v>
      </c>
      <c r="D1" s="11" t="s">
        <v>574</v>
      </c>
      <c r="E1" s="11" t="s">
        <v>575</v>
      </c>
      <c r="F1" s="11" t="s">
        <v>576</v>
      </c>
      <c r="G1" s="11" t="s">
        <v>577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578</v>
      </c>
      <c r="N1" s="8" t="s">
        <v>579</v>
      </c>
      <c r="O1" s="8" t="s">
        <v>580</v>
      </c>
      <c r="P1" s="8" t="s">
        <v>7</v>
      </c>
      <c r="Q1" s="17" t="s">
        <v>499</v>
      </c>
      <c r="R1" s="18" t="s">
        <v>309</v>
      </c>
    </row>
    <row r="2" spans="1:18" x14ac:dyDescent="0.25">
      <c r="A2" s="10">
        <f>ROW(Tabela1[[#This Row],[Toolbox No / Container No]])-1</f>
        <v>1</v>
      </c>
      <c r="B2" s="10" t="s">
        <v>183</v>
      </c>
      <c r="C2" s="10" t="s">
        <v>581</v>
      </c>
      <c r="D2" s="10" t="s">
        <v>582</v>
      </c>
      <c r="E2" s="10" t="s">
        <v>583</v>
      </c>
      <c r="F2" s="10" t="s">
        <v>584</v>
      </c>
      <c r="G2" s="10" t="s">
        <v>585</v>
      </c>
      <c r="H2" s="10" t="s">
        <v>160</v>
      </c>
      <c r="I2" s="4" t="s">
        <v>586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587</v>
      </c>
      <c r="N2" s="16" t="s">
        <v>588</v>
      </c>
      <c r="O2" s="16" t="s">
        <v>589</v>
      </c>
      <c r="P2" s="9" t="s">
        <v>10</v>
      </c>
      <c r="Q2" s="16" t="s">
        <v>502</v>
      </c>
      <c r="R2" s="16" t="s">
        <v>310</v>
      </c>
    </row>
    <row r="3" spans="1:18" x14ac:dyDescent="0.25">
      <c r="A3" s="10">
        <f>ROW(Tabela1[[#This Row],[Toolbox No / Container No]])-1</f>
        <v>2</v>
      </c>
      <c r="B3" s="10" t="s">
        <v>159</v>
      </c>
      <c r="C3" s="10" t="s">
        <v>590</v>
      </c>
      <c r="D3" s="10" t="s">
        <v>582</v>
      </c>
      <c r="E3" s="10" t="s">
        <v>583</v>
      </c>
      <c r="F3" s="10" t="s">
        <v>584</v>
      </c>
      <c r="G3" s="10" t="s">
        <v>585</v>
      </c>
      <c r="H3" s="10" t="s">
        <v>160</v>
      </c>
      <c r="I3" s="4" t="s">
        <v>591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592</v>
      </c>
      <c r="N3" s="16" t="s">
        <v>593</v>
      </c>
      <c r="O3" s="16" t="s">
        <v>594</v>
      </c>
      <c r="P3" s="9" t="s">
        <v>10</v>
      </c>
      <c r="Q3" s="16" t="s">
        <v>502</v>
      </c>
      <c r="R3" s="16" t="s">
        <v>311</v>
      </c>
    </row>
    <row r="4" spans="1:18" x14ac:dyDescent="0.25">
      <c r="A4" s="10">
        <f>ROW(Tabela1[[#This Row],[Toolbox No / Container No]])-1</f>
        <v>3</v>
      </c>
      <c r="B4" s="10" t="s">
        <v>43</v>
      </c>
      <c r="C4" s="10" t="s">
        <v>595</v>
      </c>
      <c r="D4" s="10" t="s">
        <v>596</v>
      </c>
      <c r="E4" s="10">
        <v>305</v>
      </c>
      <c r="F4" s="10" t="s">
        <v>597</v>
      </c>
      <c r="G4" s="10" t="s">
        <v>585</v>
      </c>
      <c r="H4" s="10" t="s">
        <v>44</v>
      </c>
      <c r="I4" s="4" t="s">
        <v>598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599</v>
      </c>
      <c r="N4" s="16" t="s">
        <v>588</v>
      </c>
      <c r="O4" s="16" t="s">
        <v>589</v>
      </c>
      <c r="P4" s="9" t="s">
        <v>10</v>
      </c>
      <c r="Q4" s="16" t="s">
        <v>503</v>
      </c>
      <c r="R4" s="16" t="s">
        <v>312</v>
      </c>
    </row>
    <row r="5" spans="1:18" x14ac:dyDescent="0.25">
      <c r="A5" s="10">
        <f>ROW(Tabela1[[#This Row],[Toolbox No / Container No]])-1</f>
        <v>4</v>
      </c>
      <c r="B5" s="10" t="s">
        <v>175</v>
      </c>
      <c r="C5" s="10" t="s">
        <v>581</v>
      </c>
      <c r="D5" s="10" t="s">
        <v>596</v>
      </c>
      <c r="E5" s="10">
        <v>305</v>
      </c>
      <c r="F5" s="10" t="s">
        <v>584</v>
      </c>
      <c r="G5" s="10" t="s">
        <v>585</v>
      </c>
      <c r="H5" s="10"/>
      <c r="I5" s="4" t="s">
        <v>600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601</v>
      </c>
      <c r="N5" s="16" t="s">
        <v>588</v>
      </c>
      <c r="O5" s="16" t="s">
        <v>589</v>
      </c>
      <c r="P5" s="9" t="s">
        <v>10</v>
      </c>
      <c r="Q5" s="16" t="s">
        <v>503</v>
      </c>
      <c r="R5" s="16" t="s">
        <v>313</v>
      </c>
    </row>
    <row r="6" spans="1:18" x14ac:dyDescent="0.25">
      <c r="A6" s="10">
        <f>ROW(Tabela1[[#This Row],[Toolbox No / Container No]])-1</f>
        <v>5</v>
      </c>
      <c r="B6" s="10" t="s">
        <v>89</v>
      </c>
      <c r="C6" s="10" t="s">
        <v>581</v>
      </c>
      <c r="D6" s="10" t="s">
        <v>582</v>
      </c>
      <c r="E6" s="10" t="s">
        <v>602</v>
      </c>
      <c r="F6" s="10" t="s">
        <v>597</v>
      </c>
      <c r="G6" s="10" t="s">
        <v>585</v>
      </c>
      <c r="H6" s="10"/>
      <c r="I6" s="4" t="s">
        <v>603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604</v>
      </c>
      <c r="N6" s="16" t="s">
        <v>593</v>
      </c>
      <c r="O6" s="16" t="s">
        <v>589</v>
      </c>
      <c r="P6" s="9" t="s">
        <v>10</v>
      </c>
      <c r="Q6" s="16" t="s">
        <v>504</v>
      </c>
      <c r="R6" s="16" t="s">
        <v>314</v>
      </c>
    </row>
    <row r="7" spans="1:18" x14ac:dyDescent="0.25">
      <c r="A7" s="10">
        <f>ROW(Tabela1[[#This Row],[Toolbox No / Container No]])-1</f>
        <v>6</v>
      </c>
      <c r="B7" s="10" t="s">
        <v>16</v>
      </c>
      <c r="C7" s="10" t="s">
        <v>605</v>
      </c>
      <c r="D7" s="10" t="s">
        <v>606</v>
      </c>
      <c r="E7" s="10" t="s">
        <v>607</v>
      </c>
      <c r="F7" s="10" t="s">
        <v>608</v>
      </c>
      <c r="G7" s="10" t="s">
        <v>609</v>
      </c>
      <c r="H7" s="10" t="s">
        <v>17</v>
      </c>
      <c r="I7" s="4" t="s">
        <v>610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611</v>
      </c>
      <c r="N7" s="16" t="s">
        <v>588</v>
      </c>
      <c r="O7" s="16" t="s">
        <v>612</v>
      </c>
      <c r="P7" s="9" t="s">
        <v>10</v>
      </c>
      <c r="Q7" s="16" t="s">
        <v>505</v>
      </c>
      <c r="R7" s="16" t="s">
        <v>315</v>
      </c>
    </row>
    <row r="8" spans="1:18" x14ac:dyDescent="0.25">
      <c r="A8" s="10">
        <f>ROW(Tabela1[[#This Row],[Toolbox No / Container No]])-1</f>
        <v>7</v>
      </c>
      <c r="B8" s="10" t="s">
        <v>18</v>
      </c>
      <c r="C8" s="10" t="s">
        <v>605</v>
      </c>
      <c r="D8" s="10" t="s">
        <v>606</v>
      </c>
      <c r="E8" s="10" t="s">
        <v>607</v>
      </c>
      <c r="F8" s="10" t="s">
        <v>613</v>
      </c>
      <c r="G8" s="10" t="s">
        <v>609</v>
      </c>
      <c r="H8" s="10" t="s">
        <v>19</v>
      </c>
      <c r="I8" s="4" t="s">
        <v>614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615</v>
      </c>
      <c r="N8" s="16" t="s">
        <v>588</v>
      </c>
      <c r="O8" s="16" t="s">
        <v>612</v>
      </c>
      <c r="P8" s="9" t="s">
        <v>10</v>
      </c>
      <c r="Q8" s="16" t="s">
        <v>505</v>
      </c>
      <c r="R8" s="16" t="s">
        <v>316</v>
      </c>
    </row>
    <row r="9" spans="1:18" x14ac:dyDescent="0.25">
      <c r="A9" s="10">
        <f>ROW(Tabela1[[#This Row],[Toolbox No / Container No]])-1</f>
        <v>8</v>
      </c>
      <c r="B9" s="10" t="s">
        <v>42</v>
      </c>
      <c r="C9" s="10" t="s">
        <v>605</v>
      </c>
      <c r="D9" s="10" t="s">
        <v>616</v>
      </c>
      <c r="E9" s="10" t="s">
        <v>617</v>
      </c>
      <c r="F9" s="10" t="s">
        <v>618</v>
      </c>
      <c r="G9" s="10" t="s">
        <v>619</v>
      </c>
      <c r="H9" s="10"/>
      <c r="I9" s="4" t="s">
        <v>620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621</v>
      </c>
      <c r="N9" s="16" t="s">
        <v>622</v>
      </c>
      <c r="O9" s="16" t="s">
        <v>612</v>
      </c>
      <c r="P9" s="9" t="s">
        <v>10</v>
      </c>
      <c r="Q9" s="16" t="s">
        <v>506</v>
      </c>
      <c r="R9" s="16" t="s">
        <v>317</v>
      </c>
    </row>
    <row r="10" spans="1:18" x14ac:dyDescent="0.25">
      <c r="A10" s="10">
        <f>ROW(Tabela1[[#This Row],[Toolbox No / Container No]])-1</f>
        <v>9</v>
      </c>
      <c r="B10" s="10" t="s">
        <v>204</v>
      </c>
      <c r="C10" s="10" t="s">
        <v>605</v>
      </c>
      <c r="D10" s="10" t="s">
        <v>616</v>
      </c>
      <c r="E10" s="10" t="s">
        <v>617</v>
      </c>
      <c r="F10" s="10" t="s">
        <v>618</v>
      </c>
      <c r="G10" s="10" t="s">
        <v>619</v>
      </c>
      <c r="H10" s="10"/>
      <c r="I10" s="4" t="s">
        <v>623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624</v>
      </c>
      <c r="N10" s="16" t="s">
        <v>622</v>
      </c>
      <c r="O10" s="16" t="s">
        <v>612</v>
      </c>
      <c r="P10" s="9" t="s">
        <v>10</v>
      </c>
      <c r="Q10" s="16" t="s">
        <v>506</v>
      </c>
      <c r="R10" s="16" t="s">
        <v>318</v>
      </c>
    </row>
    <row r="11" spans="1:18" x14ac:dyDescent="0.25">
      <c r="A11" s="10">
        <f>ROW(Tabela1[[#This Row],[Toolbox No / Container No]])-1</f>
        <v>10</v>
      </c>
      <c r="B11" s="10" t="s">
        <v>141</v>
      </c>
      <c r="C11" s="10" t="s">
        <v>625</v>
      </c>
      <c r="D11" s="10" t="s">
        <v>626</v>
      </c>
      <c r="E11" s="10" t="s">
        <v>627</v>
      </c>
      <c r="F11" s="10" t="s">
        <v>628</v>
      </c>
      <c r="G11" s="10" t="s">
        <v>629</v>
      </c>
      <c r="H11" s="10"/>
      <c r="I11" s="4" t="s">
        <v>630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631</v>
      </c>
      <c r="N11" s="16" t="s">
        <v>588</v>
      </c>
      <c r="O11" s="16" t="s">
        <v>612</v>
      </c>
      <c r="P11" s="9" t="s">
        <v>10</v>
      </c>
      <c r="Q11" s="16" t="s">
        <v>507</v>
      </c>
      <c r="R11" s="16" t="s">
        <v>319</v>
      </c>
    </row>
    <row r="12" spans="1:18" ht="15" x14ac:dyDescent="0.25">
      <c r="A12" s="10">
        <f>ROW(Tabela1[[#This Row],[Toolbox No / Container No]])-1</f>
        <v>11</v>
      </c>
      <c r="B12" s="15" t="s">
        <v>147</v>
      </c>
      <c r="C12" s="15" t="s">
        <v>632</v>
      </c>
      <c r="D12" s="15" t="s">
        <v>633</v>
      </c>
      <c r="E12" s="15" t="s">
        <v>634</v>
      </c>
      <c r="F12" s="15" t="s">
        <v>635</v>
      </c>
      <c r="G12" s="15" t="s">
        <v>636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637</v>
      </c>
      <c r="N12" s="16" t="s">
        <v>588</v>
      </c>
      <c r="O12" s="16" t="s">
        <v>638</v>
      </c>
      <c r="P12" s="9" t="s">
        <v>10</v>
      </c>
      <c r="Q12" s="16" t="s">
        <v>508</v>
      </c>
      <c r="R12" s="19" t="s">
        <v>320</v>
      </c>
    </row>
    <row r="13" spans="1:18" x14ac:dyDescent="0.25">
      <c r="A13" s="10">
        <f>ROW(Tabela1[[#This Row],[Toolbox No / Container No]])-1</f>
        <v>12</v>
      </c>
      <c r="B13" s="15" t="s">
        <v>249</v>
      </c>
      <c r="C13" s="15" t="s">
        <v>639</v>
      </c>
      <c r="D13" s="15" t="s">
        <v>640</v>
      </c>
      <c r="E13" s="15" t="s">
        <v>641</v>
      </c>
      <c r="F13" s="15" t="s">
        <v>642</v>
      </c>
      <c r="G13" s="15" t="s">
        <v>642</v>
      </c>
      <c r="H13" s="15" t="s">
        <v>250</v>
      </c>
      <c r="I13" s="3" t="s">
        <v>643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644</v>
      </c>
      <c r="N13" s="16" t="s">
        <v>588</v>
      </c>
      <c r="O13" s="16" t="s">
        <v>645</v>
      </c>
      <c r="P13" s="9" t="s">
        <v>10</v>
      </c>
      <c r="Q13" s="16" t="s">
        <v>509</v>
      </c>
      <c r="R13" s="16" t="s">
        <v>321</v>
      </c>
    </row>
    <row r="14" spans="1:18" x14ac:dyDescent="0.25">
      <c r="A14" s="10">
        <f>ROW(Tabela1[[#This Row],[Toolbox No / Container No]])-1</f>
        <v>13</v>
      </c>
      <c r="B14" s="10" t="s">
        <v>46</v>
      </c>
      <c r="C14" s="10" t="s">
        <v>646</v>
      </c>
      <c r="D14" s="10" t="s">
        <v>582</v>
      </c>
      <c r="E14" s="10" t="s">
        <v>647</v>
      </c>
      <c r="F14" s="10" t="s">
        <v>648</v>
      </c>
      <c r="G14" s="10" t="s">
        <v>649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650</v>
      </c>
      <c r="N14" s="16" t="s">
        <v>588</v>
      </c>
      <c r="O14" s="16" t="s">
        <v>651</v>
      </c>
      <c r="P14" s="9" t="s">
        <v>10</v>
      </c>
      <c r="Q14" s="16" t="s">
        <v>510</v>
      </c>
      <c r="R14" s="16" t="s">
        <v>322</v>
      </c>
    </row>
    <row r="15" spans="1:18" x14ac:dyDescent="0.25">
      <c r="A15" s="10">
        <f>ROW(Tabela1[[#This Row],[Toolbox No / Container No]])-1</f>
        <v>14</v>
      </c>
      <c r="B15" s="15" t="s">
        <v>251</v>
      </c>
      <c r="C15" s="15" t="s">
        <v>646</v>
      </c>
      <c r="D15" s="15" t="s">
        <v>652</v>
      </c>
      <c r="E15" s="15" t="s">
        <v>653</v>
      </c>
      <c r="F15" s="15" t="s">
        <v>654</v>
      </c>
      <c r="G15" s="15" t="s">
        <v>655</v>
      </c>
      <c r="H15" s="15" t="s">
        <v>252</v>
      </c>
      <c r="I15" s="3" t="s">
        <v>656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657</v>
      </c>
      <c r="N15" s="16" t="s">
        <v>588</v>
      </c>
      <c r="O15" s="16" t="s">
        <v>658</v>
      </c>
      <c r="P15" s="9" t="s">
        <v>10</v>
      </c>
      <c r="Q15" s="16" t="s">
        <v>511</v>
      </c>
      <c r="R15" s="16" t="s">
        <v>323</v>
      </c>
    </row>
    <row r="16" spans="1:18" ht="22.5" x14ac:dyDescent="0.25">
      <c r="A16" s="10">
        <f>ROW(Tabela1[[#This Row],[Toolbox No / Container No]])-1</f>
        <v>15</v>
      </c>
      <c r="B16" s="15" t="s">
        <v>143</v>
      </c>
      <c r="C16" s="15" t="s">
        <v>659</v>
      </c>
      <c r="D16" s="15" t="s">
        <v>660</v>
      </c>
      <c r="E16" s="15" t="s">
        <v>661</v>
      </c>
      <c r="F16" s="15" t="s">
        <v>662</v>
      </c>
      <c r="G16" s="15" t="s">
        <v>585</v>
      </c>
      <c r="H16" s="15" t="s">
        <v>144</v>
      </c>
      <c r="I16" s="3" t="s">
        <v>663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664</v>
      </c>
      <c r="N16" s="16" t="s">
        <v>588</v>
      </c>
      <c r="O16" s="16" t="s">
        <v>665</v>
      </c>
      <c r="P16" s="9" t="s">
        <v>10</v>
      </c>
      <c r="Q16" s="16" t="s">
        <v>512</v>
      </c>
      <c r="R16" s="16" t="s">
        <v>324</v>
      </c>
    </row>
    <row r="17" spans="1:18" ht="22.5" x14ac:dyDescent="0.25">
      <c r="A17" s="10">
        <f>ROW(Tabela1[[#This Row],[Toolbox No / Container No]])-1</f>
        <v>16</v>
      </c>
      <c r="B17" s="15" t="s">
        <v>145</v>
      </c>
      <c r="C17" s="15" t="s">
        <v>659</v>
      </c>
      <c r="D17" s="15" t="s">
        <v>660</v>
      </c>
      <c r="E17" s="15" t="s">
        <v>661</v>
      </c>
      <c r="F17" s="15" t="s">
        <v>662</v>
      </c>
      <c r="G17" s="15" t="s">
        <v>585</v>
      </c>
      <c r="H17" s="15" t="s">
        <v>146</v>
      </c>
      <c r="I17" s="3" t="s">
        <v>666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664</v>
      </c>
      <c r="N17" s="16" t="s">
        <v>588</v>
      </c>
      <c r="O17" s="16" t="s">
        <v>665</v>
      </c>
      <c r="P17" s="9" t="s">
        <v>10</v>
      </c>
      <c r="Q17" s="16" t="s">
        <v>512</v>
      </c>
      <c r="R17" s="16" t="s">
        <v>325</v>
      </c>
    </row>
    <row r="18" spans="1:18" x14ac:dyDescent="0.25">
      <c r="A18" s="10">
        <f>ROW(Tabela1[[#This Row],[Toolbox No / Container No]])-1</f>
        <v>17</v>
      </c>
      <c r="B18" s="10" t="s">
        <v>75</v>
      </c>
      <c r="C18" s="10" t="s">
        <v>667</v>
      </c>
      <c r="D18" s="10" t="s">
        <v>668</v>
      </c>
      <c r="E18" s="10" t="s">
        <v>669</v>
      </c>
      <c r="F18" s="10" t="s">
        <v>662</v>
      </c>
      <c r="G18" s="10" t="s">
        <v>585</v>
      </c>
      <c r="H18" s="10" t="s">
        <v>76</v>
      </c>
      <c r="I18" s="4" t="s">
        <v>670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671</v>
      </c>
      <c r="N18" s="16" t="s">
        <v>588</v>
      </c>
      <c r="O18" s="16" t="s">
        <v>672</v>
      </c>
      <c r="P18" s="9" t="s">
        <v>10</v>
      </c>
      <c r="Q18" s="16" t="s">
        <v>512</v>
      </c>
      <c r="R18" s="16" t="s">
        <v>326</v>
      </c>
    </row>
    <row r="19" spans="1:18" x14ac:dyDescent="0.25">
      <c r="A19" s="10">
        <f>ROW(Tabela1[[#This Row],[Toolbox No / Container No]])-1</f>
        <v>18</v>
      </c>
      <c r="B19" s="15" t="s">
        <v>157</v>
      </c>
      <c r="C19" s="15" t="s">
        <v>667</v>
      </c>
      <c r="D19" s="15" t="s">
        <v>668</v>
      </c>
      <c r="E19" s="15" t="s">
        <v>669</v>
      </c>
      <c r="F19" s="15" t="s">
        <v>662</v>
      </c>
      <c r="G19" s="15" t="s">
        <v>585</v>
      </c>
      <c r="H19" s="15" t="s">
        <v>158</v>
      </c>
      <c r="I19" s="1" t="s">
        <v>673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674</v>
      </c>
      <c r="N19" s="16" t="s">
        <v>588</v>
      </c>
      <c r="O19" s="16" t="s">
        <v>675</v>
      </c>
      <c r="P19" s="9" t="s">
        <v>10</v>
      </c>
      <c r="Q19" s="16" t="s">
        <v>512</v>
      </c>
      <c r="R19" s="16" t="s">
        <v>327</v>
      </c>
    </row>
    <row r="20" spans="1:18" x14ac:dyDescent="0.25">
      <c r="A20" s="10">
        <f>ROW(Tabela1[[#This Row],[Toolbox No / Container No]])-1</f>
        <v>19</v>
      </c>
      <c r="B20" s="10" t="s">
        <v>205</v>
      </c>
      <c r="C20" s="10" t="s">
        <v>667</v>
      </c>
      <c r="D20" s="10" t="s">
        <v>668</v>
      </c>
      <c r="E20" s="10" t="s">
        <v>669</v>
      </c>
      <c r="F20" s="10" t="s">
        <v>662</v>
      </c>
      <c r="G20" s="10" t="s">
        <v>585</v>
      </c>
      <c r="H20" s="10" t="s">
        <v>158</v>
      </c>
      <c r="I20" s="4" t="s">
        <v>676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671</v>
      </c>
      <c r="N20" s="16" t="s">
        <v>588</v>
      </c>
      <c r="O20" s="16" t="s">
        <v>675</v>
      </c>
      <c r="P20" s="9" t="s">
        <v>10</v>
      </c>
      <c r="Q20" s="16" t="s">
        <v>512</v>
      </c>
      <c r="R20" s="16" t="s">
        <v>328</v>
      </c>
    </row>
    <row r="21" spans="1:18" x14ac:dyDescent="0.25">
      <c r="A21" s="10">
        <f>ROW(Tabela1[[#This Row],[Toolbox No / Container No]])-1</f>
        <v>20</v>
      </c>
      <c r="B21" s="15" t="s">
        <v>242</v>
      </c>
      <c r="C21" s="15" t="s">
        <v>677</v>
      </c>
      <c r="D21" s="15" t="s">
        <v>617</v>
      </c>
      <c r="E21" s="15" t="s">
        <v>617</v>
      </c>
      <c r="F21" s="15" t="s">
        <v>678</v>
      </c>
      <c r="G21" s="15" t="s">
        <v>679</v>
      </c>
      <c r="H21" s="15"/>
      <c r="I21" s="5" t="s">
        <v>680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681</v>
      </c>
      <c r="N21" s="16" t="s">
        <v>588</v>
      </c>
      <c r="O21" s="16" t="s">
        <v>682</v>
      </c>
      <c r="P21" s="9" t="s">
        <v>10</v>
      </c>
      <c r="Q21" s="16" t="s">
        <v>513</v>
      </c>
      <c r="R21" s="16" t="s">
        <v>329</v>
      </c>
    </row>
    <row r="22" spans="1:18" x14ac:dyDescent="0.25">
      <c r="A22" s="10">
        <f>ROW(Tabela1[[#This Row],[Toolbox No / Container No]])-1</f>
        <v>21</v>
      </c>
      <c r="B22" s="10" t="s">
        <v>217</v>
      </c>
      <c r="C22" s="10" t="s">
        <v>683</v>
      </c>
      <c r="D22" s="10" t="s">
        <v>684</v>
      </c>
      <c r="E22" s="10" t="s">
        <v>617</v>
      </c>
      <c r="F22" s="10" t="s">
        <v>685</v>
      </c>
      <c r="G22" s="10" t="s">
        <v>679</v>
      </c>
      <c r="H22" s="10"/>
      <c r="I22" s="4" t="s">
        <v>686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687</v>
      </c>
      <c r="N22" s="16" t="s">
        <v>588</v>
      </c>
      <c r="O22" s="16" t="s">
        <v>688</v>
      </c>
      <c r="P22" s="9" t="s">
        <v>10</v>
      </c>
      <c r="Q22" s="16" t="s">
        <v>513</v>
      </c>
      <c r="R22" s="16" t="s">
        <v>330</v>
      </c>
    </row>
    <row r="23" spans="1:18" x14ac:dyDescent="0.25">
      <c r="A23" s="10">
        <f>ROW(Tabela1[[#This Row],[Toolbox No / Container No]])-1</f>
        <v>22</v>
      </c>
      <c r="B23" s="10" t="s">
        <v>218</v>
      </c>
      <c r="C23" s="10" t="s">
        <v>632</v>
      </c>
      <c r="D23" s="10" t="s">
        <v>633</v>
      </c>
      <c r="E23" s="10" t="s">
        <v>634</v>
      </c>
      <c r="F23" s="10" t="s">
        <v>635</v>
      </c>
      <c r="G23" s="10" t="s">
        <v>636</v>
      </c>
      <c r="H23" s="10"/>
      <c r="I23" s="4" t="s">
        <v>689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637</v>
      </c>
      <c r="N23" s="16" t="s">
        <v>588</v>
      </c>
      <c r="O23" s="16" t="s">
        <v>638</v>
      </c>
      <c r="P23" s="9" t="s">
        <v>10</v>
      </c>
      <c r="Q23" s="16" t="s">
        <v>513</v>
      </c>
      <c r="R23" s="16" t="s">
        <v>331</v>
      </c>
    </row>
    <row r="24" spans="1:18" x14ac:dyDescent="0.25">
      <c r="A24" s="10">
        <f>ROW(Tabela1[[#This Row],[Toolbox No / Container No]])-1</f>
        <v>23</v>
      </c>
      <c r="B24" s="15" t="s">
        <v>240</v>
      </c>
      <c r="C24" s="15" t="s">
        <v>683</v>
      </c>
      <c r="D24" s="15" t="s">
        <v>684</v>
      </c>
      <c r="E24" s="15" t="s">
        <v>617</v>
      </c>
      <c r="F24" s="15" t="s">
        <v>690</v>
      </c>
      <c r="G24" s="15" t="s">
        <v>691</v>
      </c>
      <c r="H24" s="15"/>
      <c r="I24" s="5" t="s">
        <v>692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693</v>
      </c>
      <c r="N24" s="16" t="s">
        <v>588</v>
      </c>
      <c r="O24" s="16" t="s">
        <v>694</v>
      </c>
      <c r="P24" s="9" t="s">
        <v>10</v>
      </c>
      <c r="Q24" s="16" t="s">
        <v>513</v>
      </c>
      <c r="R24" s="16" t="s">
        <v>332</v>
      </c>
    </row>
    <row r="25" spans="1:18" x14ac:dyDescent="0.25">
      <c r="A25" s="10">
        <f>ROW(Tabela1[[#This Row],[Toolbox No / Container No]])-1</f>
        <v>24</v>
      </c>
      <c r="B25" s="15" t="s">
        <v>241</v>
      </c>
      <c r="C25" s="15" t="s">
        <v>677</v>
      </c>
      <c r="D25" s="15" t="s">
        <v>684</v>
      </c>
      <c r="E25" s="15" t="s">
        <v>617</v>
      </c>
      <c r="F25" s="15" t="s">
        <v>695</v>
      </c>
      <c r="G25" s="15" t="s">
        <v>691</v>
      </c>
      <c r="H25" s="15"/>
      <c r="I25" s="5" t="s">
        <v>696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697</v>
      </c>
      <c r="N25" s="16" t="s">
        <v>588</v>
      </c>
      <c r="O25" s="16" t="s">
        <v>682</v>
      </c>
      <c r="P25" s="9" t="s">
        <v>10</v>
      </c>
      <c r="Q25" s="16" t="s">
        <v>513</v>
      </c>
      <c r="R25" s="16" t="s">
        <v>333</v>
      </c>
    </row>
    <row r="26" spans="1:18" x14ac:dyDescent="0.25">
      <c r="A26" s="10">
        <f>ROW(Tabela1[[#This Row],[Toolbox No / Container No]])-1</f>
        <v>25</v>
      </c>
      <c r="B26" s="15" t="s">
        <v>244</v>
      </c>
      <c r="C26" s="15" t="s">
        <v>683</v>
      </c>
      <c r="D26" s="15" t="s">
        <v>698</v>
      </c>
      <c r="E26" s="15" t="s">
        <v>617</v>
      </c>
      <c r="F26" s="15" t="s">
        <v>699</v>
      </c>
      <c r="G26" s="15" t="s">
        <v>679</v>
      </c>
      <c r="H26" s="15"/>
      <c r="I26" s="5" t="s">
        <v>700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701</v>
      </c>
      <c r="N26" s="16" t="s">
        <v>588</v>
      </c>
      <c r="O26" s="16" t="s">
        <v>682</v>
      </c>
      <c r="P26" s="9" t="s">
        <v>10</v>
      </c>
      <c r="Q26" s="16" t="s">
        <v>513</v>
      </c>
      <c r="R26" s="16" t="s">
        <v>334</v>
      </c>
    </row>
    <row r="27" spans="1:18" x14ac:dyDescent="0.25">
      <c r="A27" s="10">
        <f>ROW(Tabela1[[#This Row],[Toolbox No / Container No]])-1</f>
        <v>26</v>
      </c>
      <c r="B27" s="10" t="s">
        <v>48</v>
      </c>
      <c r="C27" s="10" t="s">
        <v>677</v>
      </c>
      <c r="D27" s="10" t="s">
        <v>698</v>
      </c>
      <c r="E27" s="10" t="s">
        <v>617</v>
      </c>
      <c r="F27" s="10" t="s">
        <v>699</v>
      </c>
      <c r="G27" s="10" t="s">
        <v>679</v>
      </c>
      <c r="H27" s="10"/>
      <c r="I27" s="4" t="s">
        <v>702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701</v>
      </c>
      <c r="N27" s="16" t="s">
        <v>588</v>
      </c>
      <c r="O27" s="16" t="s">
        <v>682</v>
      </c>
      <c r="P27" s="9" t="s">
        <v>10</v>
      </c>
      <c r="Q27" s="16" t="s">
        <v>513</v>
      </c>
      <c r="R27" s="16" t="s">
        <v>335</v>
      </c>
    </row>
    <row r="28" spans="1:18" x14ac:dyDescent="0.25">
      <c r="A28" s="10">
        <f>ROW(Tabela1[[#This Row],[Toolbox No / Container No]])-1</f>
        <v>27</v>
      </c>
      <c r="B28" s="15" t="s">
        <v>245</v>
      </c>
      <c r="C28" s="15" t="s">
        <v>683</v>
      </c>
      <c r="D28" s="15" t="s">
        <v>698</v>
      </c>
      <c r="E28" s="15" t="s">
        <v>617</v>
      </c>
      <c r="F28" s="15" t="s">
        <v>703</v>
      </c>
      <c r="G28" s="15" t="s">
        <v>704</v>
      </c>
      <c r="H28" s="15"/>
      <c r="I28" s="5" t="s">
        <v>705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706</v>
      </c>
      <c r="N28" s="16" t="s">
        <v>588</v>
      </c>
      <c r="O28" s="16" t="s">
        <v>707</v>
      </c>
      <c r="P28" s="9" t="s">
        <v>10</v>
      </c>
      <c r="Q28" s="16" t="s">
        <v>513</v>
      </c>
      <c r="R28" s="16" t="s">
        <v>336</v>
      </c>
    </row>
    <row r="29" spans="1:18" x14ac:dyDescent="0.25">
      <c r="A29" s="10">
        <f>ROW(Tabela1[[#This Row],[Toolbox No / Container No]])-1</f>
        <v>28</v>
      </c>
      <c r="B29" s="15" t="s">
        <v>246</v>
      </c>
      <c r="C29" s="15" t="s">
        <v>683</v>
      </c>
      <c r="D29" s="15" t="s">
        <v>708</v>
      </c>
      <c r="E29" s="15">
        <v>2050</v>
      </c>
      <c r="F29" s="15" t="s">
        <v>703</v>
      </c>
      <c r="G29" s="15" t="s">
        <v>704</v>
      </c>
      <c r="H29" s="15"/>
      <c r="I29" s="5" t="s">
        <v>709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710</v>
      </c>
      <c r="N29" s="16" t="s">
        <v>588</v>
      </c>
      <c r="O29" s="16" t="s">
        <v>707</v>
      </c>
      <c r="P29" s="9" t="s">
        <v>10</v>
      </c>
      <c r="Q29" s="16" t="s">
        <v>513</v>
      </c>
      <c r="R29" s="16" t="s">
        <v>337</v>
      </c>
    </row>
    <row r="30" spans="1:18" x14ac:dyDescent="0.25">
      <c r="A30" s="10">
        <f>ROW(Tabela1[[#This Row],[Toolbox No / Container No]])-1</f>
        <v>29</v>
      </c>
      <c r="B30" s="10" t="s">
        <v>219</v>
      </c>
      <c r="C30" s="10" t="s">
        <v>683</v>
      </c>
      <c r="D30" s="10" t="s">
        <v>684</v>
      </c>
      <c r="E30" s="10" t="s">
        <v>617</v>
      </c>
      <c r="F30" s="10" t="s">
        <v>711</v>
      </c>
      <c r="G30" s="10" t="s">
        <v>704</v>
      </c>
      <c r="H30" s="10"/>
      <c r="I30" s="4" t="s">
        <v>712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713</v>
      </c>
      <c r="N30" s="16" t="s">
        <v>588</v>
      </c>
      <c r="O30" s="16" t="s">
        <v>688</v>
      </c>
      <c r="P30" s="9" t="s">
        <v>10</v>
      </c>
      <c r="Q30" s="16" t="s">
        <v>513</v>
      </c>
      <c r="R30" s="16" t="s">
        <v>338</v>
      </c>
    </row>
    <row r="31" spans="1:18" x14ac:dyDescent="0.25">
      <c r="A31" s="10">
        <f>ROW(Tabela1[[#This Row],[Toolbox No / Container No]])-1</f>
        <v>30</v>
      </c>
      <c r="B31" s="10" t="s">
        <v>220</v>
      </c>
      <c r="C31" s="10" t="s">
        <v>677</v>
      </c>
      <c r="D31" s="10" t="s">
        <v>698</v>
      </c>
      <c r="E31" s="10">
        <v>2050</v>
      </c>
      <c r="F31" s="10" t="s">
        <v>714</v>
      </c>
      <c r="G31" s="10" t="s">
        <v>679</v>
      </c>
      <c r="H31" s="10"/>
      <c r="I31" s="4" t="s">
        <v>715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716</v>
      </c>
      <c r="N31" s="16" t="s">
        <v>588</v>
      </c>
      <c r="O31" s="16" t="s">
        <v>682</v>
      </c>
      <c r="P31" s="9" t="s">
        <v>10</v>
      </c>
      <c r="Q31" s="16" t="s">
        <v>513</v>
      </c>
      <c r="R31" s="16" t="s">
        <v>339</v>
      </c>
    </row>
    <row r="32" spans="1:18" x14ac:dyDescent="0.25">
      <c r="A32" s="10">
        <f>ROW(Tabela1[[#This Row],[Toolbox No / Container No]])-1</f>
        <v>31</v>
      </c>
      <c r="B32" s="15" t="s">
        <v>247</v>
      </c>
      <c r="C32" s="15" t="s">
        <v>683</v>
      </c>
      <c r="D32" s="15" t="s">
        <v>717</v>
      </c>
      <c r="E32" s="15" t="s">
        <v>617</v>
      </c>
      <c r="F32" s="15" t="s">
        <v>718</v>
      </c>
      <c r="G32" s="15" t="s">
        <v>704</v>
      </c>
      <c r="H32" s="15"/>
      <c r="I32" s="5" t="s">
        <v>719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720</v>
      </c>
      <c r="N32" s="16" t="s">
        <v>588</v>
      </c>
      <c r="O32" s="16" t="s">
        <v>707</v>
      </c>
      <c r="P32" s="9" t="s">
        <v>10</v>
      </c>
      <c r="Q32" s="16" t="s">
        <v>513</v>
      </c>
      <c r="R32" s="16" t="s">
        <v>340</v>
      </c>
    </row>
    <row r="33" spans="1:18" x14ac:dyDescent="0.25">
      <c r="A33" s="10">
        <f>ROW(Tabela1[[#This Row],[Toolbox No / Container No]])-1</f>
        <v>32</v>
      </c>
      <c r="B33" s="15" t="s">
        <v>248</v>
      </c>
      <c r="C33" s="15" t="s">
        <v>683</v>
      </c>
      <c r="D33" s="15" t="s">
        <v>684</v>
      </c>
      <c r="E33" s="15" t="s">
        <v>617</v>
      </c>
      <c r="F33" s="15" t="s">
        <v>718</v>
      </c>
      <c r="G33" s="15" t="s">
        <v>704</v>
      </c>
      <c r="H33" s="15"/>
      <c r="I33" s="1" t="s">
        <v>721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720</v>
      </c>
      <c r="N33" s="16" t="s">
        <v>588</v>
      </c>
      <c r="O33" s="16" t="s">
        <v>707</v>
      </c>
      <c r="P33" s="9" t="s">
        <v>10</v>
      </c>
      <c r="Q33" s="16" t="s">
        <v>513</v>
      </c>
      <c r="R33" s="16" t="s">
        <v>341</v>
      </c>
    </row>
    <row r="34" spans="1:18" x14ac:dyDescent="0.25">
      <c r="A34" s="10">
        <f>ROW(Tabela1[[#This Row],[Toolbox No / Container No]])-1</f>
        <v>33</v>
      </c>
      <c r="B34" s="10" t="s">
        <v>221</v>
      </c>
      <c r="C34" s="10" t="s">
        <v>683</v>
      </c>
      <c r="D34" s="10" t="s">
        <v>684</v>
      </c>
      <c r="E34" s="10" t="s">
        <v>617</v>
      </c>
      <c r="F34" s="10" t="s">
        <v>718</v>
      </c>
      <c r="G34" s="10" t="s">
        <v>704</v>
      </c>
      <c r="H34" s="10"/>
      <c r="I34" s="4" t="s">
        <v>722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723</v>
      </c>
      <c r="N34" s="16" t="s">
        <v>588</v>
      </c>
      <c r="O34" s="16" t="s">
        <v>707</v>
      </c>
      <c r="P34" s="9" t="s">
        <v>10</v>
      </c>
      <c r="Q34" s="16" t="s">
        <v>513</v>
      </c>
      <c r="R34" s="16" t="s">
        <v>342</v>
      </c>
    </row>
    <row r="35" spans="1:18" x14ac:dyDescent="0.25">
      <c r="A35" s="10">
        <f>ROW(Tabela1[[#This Row],[Toolbox No / Container No]])-1</f>
        <v>34</v>
      </c>
      <c r="B35" s="10" t="s">
        <v>222</v>
      </c>
      <c r="C35" s="10" t="s">
        <v>683</v>
      </c>
      <c r="D35" s="10" t="s">
        <v>684</v>
      </c>
      <c r="E35" s="10" t="s">
        <v>617</v>
      </c>
      <c r="F35" s="10" t="s">
        <v>718</v>
      </c>
      <c r="G35" s="10" t="s">
        <v>704</v>
      </c>
      <c r="H35" s="10"/>
      <c r="I35" s="4" t="s">
        <v>724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725</v>
      </c>
      <c r="N35" s="16" t="s">
        <v>588</v>
      </c>
      <c r="O35" s="16" t="s">
        <v>707</v>
      </c>
      <c r="P35" s="9" t="s">
        <v>10</v>
      </c>
      <c r="Q35" s="16" t="s">
        <v>513</v>
      </c>
      <c r="R35" s="16" t="s">
        <v>343</v>
      </c>
    </row>
    <row r="36" spans="1:18" x14ac:dyDescent="0.25">
      <c r="A36" s="10">
        <f>ROW(Tabela1[[#This Row],[Toolbox No / Container No]])-1</f>
        <v>35</v>
      </c>
      <c r="B36" s="10" t="s">
        <v>223</v>
      </c>
      <c r="C36" s="10" t="s">
        <v>667</v>
      </c>
      <c r="D36" s="10" t="s">
        <v>668</v>
      </c>
      <c r="E36" s="10" t="s">
        <v>669</v>
      </c>
      <c r="F36" s="10" t="s">
        <v>662</v>
      </c>
      <c r="G36" s="10" t="s">
        <v>585</v>
      </c>
      <c r="H36" s="10"/>
      <c r="I36" s="3" t="s">
        <v>726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674</v>
      </c>
      <c r="N36" s="16" t="s">
        <v>588</v>
      </c>
      <c r="O36" s="16" t="s">
        <v>675</v>
      </c>
      <c r="P36" s="9" t="s">
        <v>10</v>
      </c>
      <c r="Q36" s="16" t="s">
        <v>513</v>
      </c>
      <c r="R36" s="16" t="s">
        <v>344</v>
      </c>
    </row>
    <row r="37" spans="1:18" x14ac:dyDescent="0.25">
      <c r="A37" s="10">
        <f>ROW(Tabela1[[#This Row],[Toolbox No / Container No]])-1</f>
        <v>36</v>
      </c>
      <c r="B37" s="10" t="s">
        <v>224</v>
      </c>
      <c r="C37" s="10" t="s">
        <v>683</v>
      </c>
      <c r="D37" s="10" t="s">
        <v>717</v>
      </c>
      <c r="E37" s="10" t="s">
        <v>617</v>
      </c>
      <c r="F37" s="10" t="s">
        <v>718</v>
      </c>
      <c r="G37" s="10" t="s">
        <v>704</v>
      </c>
      <c r="H37" s="10"/>
      <c r="I37" s="4" t="s">
        <v>727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728</v>
      </c>
      <c r="N37" s="16" t="s">
        <v>588</v>
      </c>
      <c r="O37" s="16" t="s">
        <v>707</v>
      </c>
      <c r="P37" s="9" t="s">
        <v>10</v>
      </c>
      <c r="Q37" s="16" t="s">
        <v>513</v>
      </c>
      <c r="R37" s="16" t="s">
        <v>345</v>
      </c>
    </row>
    <row r="38" spans="1:18" x14ac:dyDescent="0.25">
      <c r="A38" s="10">
        <f>ROW(Tabela1[[#This Row],[Toolbox No / Container No]])-1</f>
        <v>37</v>
      </c>
      <c r="B38" s="15" t="s">
        <v>243</v>
      </c>
      <c r="C38" s="15" t="s">
        <v>729</v>
      </c>
      <c r="D38" s="15" t="s">
        <v>730</v>
      </c>
      <c r="E38" s="15" t="s">
        <v>731</v>
      </c>
      <c r="F38" s="15" t="s">
        <v>732</v>
      </c>
      <c r="G38" s="15" t="s">
        <v>733</v>
      </c>
      <c r="H38" s="15"/>
      <c r="I38" s="5" t="s">
        <v>734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735</v>
      </c>
      <c r="N38" s="16" t="s">
        <v>588</v>
      </c>
      <c r="O38" s="16" t="s">
        <v>736</v>
      </c>
      <c r="P38" s="9" t="s">
        <v>10</v>
      </c>
      <c r="Q38" s="16" t="s">
        <v>513</v>
      </c>
      <c r="R38" s="16" t="s">
        <v>346</v>
      </c>
    </row>
    <row r="39" spans="1:18" x14ac:dyDescent="0.25">
      <c r="A39" s="10">
        <f>ROW(Tabela1[[#This Row],[Toolbox No / Container No]])-1</f>
        <v>38</v>
      </c>
      <c r="B39" s="15" t="s">
        <v>239</v>
      </c>
      <c r="C39" s="15" t="s">
        <v>683</v>
      </c>
      <c r="D39" s="15" t="s">
        <v>737</v>
      </c>
      <c r="E39" s="15" t="s">
        <v>617</v>
      </c>
      <c r="F39" s="15" t="s">
        <v>738</v>
      </c>
      <c r="G39" s="15" t="s">
        <v>704</v>
      </c>
      <c r="H39" s="15"/>
      <c r="I39" s="5" t="s">
        <v>739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740</v>
      </c>
      <c r="N39" s="16" t="s">
        <v>588</v>
      </c>
      <c r="O39" s="16" t="s">
        <v>688</v>
      </c>
      <c r="P39" s="9" t="s">
        <v>10</v>
      </c>
      <c r="Q39" s="16" t="s">
        <v>513</v>
      </c>
      <c r="R39" s="16" t="s">
        <v>347</v>
      </c>
    </row>
    <row r="40" spans="1:18" x14ac:dyDescent="0.25">
      <c r="A40" s="10">
        <f>ROW(Tabela1[[#This Row],[Toolbox No / Container No]])-1</f>
        <v>39</v>
      </c>
      <c r="B40" s="10" t="s">
        <v>95</v>
      </c>
      <c r="C40" s="10" t="s">
        <v>741</v>
      </c>
      <c r="D40" s="10" t="s">
        <v>96</v>
      </c>
      <c r="E40" s="10" t="s">
        <v>617</v>
      </c>
      <c r="F40" s="10" t="s">
        <v>742</v>
      </c>
      <c r="G40" s="10" t="s">
        <v>743</v>
      </c>
      <c r="H40" s="10"/>
      <c r="I40" s="5" t="s">
        <v>744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745</v>
      </c>
      <c r="N40" s="16" t="s">
        <v>588</v>
      </c>
      <c r="O40" s="16" t="s">
        <v>746</v>
      </c>
      <c r="P40" s="9" t="s">
        <v>10</v>
      </c>
      <c r="Q40" s="16" t="s">
        <v>513</v>
      </c>
      <c r="R40" s="16" t="s">
        <v>348</v>
      </c>
    </row>
    <row r="41" spans="1:18" x14ac:dyDescent="0.25">
      <c r="A41" s="10">
        <f>ROW(Tabela1[[#This Row],[Toolbox No / Container No]])-1</f>
        <v>40</v>
      </c>
      <c r="B41" s="10" t="s">
        <v>97</v>
      </c>
      <c r="C41" s="10" t="s">
        <v>741</v>
      </c>
      <c r="D41" s="10" t="s">
        <v>96</v>
      </c>
      <c r="E41" s="10" t="s">
        <v>617</v>
      </c>
      <c r="F41" s="10" t="s">
        <v>747</v>
      </c>
      <c r="G41" s="10" t="s">
        <v>743</v>
      </c>
      <c r="H41" s="10"/>
      <c r="I41" s="5" t="s">
        <v>748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745</v>
      </c>
      <c r="N41" s="16" t="s">
        <v>588</v>
      </c>
      <c r="O41" s="16" t="s">
        <v>746</v>
      </c>
      <c r="P41" s="9" t="s">
        <v>10</v>
      </c>
      <c r="Q41" s="16" t="s">
        <v>514</v>
      </c>
      <c r="R41" s="16" t="s">
        <v>349</v>
      </c>
    </row>
    <row r="42" spans="1:18" x14ac:dyDescent="0.25">
      <c r="A42" s="10">
        <f>ROW(Tabela1[[#This Row],[Toolbox No / Container No]])-1</f>
        <v>41</v>
      </c>
      <c r="B42" s="10" t="s">
        <v>98</v>
      </c>
      <c r="C42" s="10" t="s">
        <v>741</v>
      </c>
      <c r="D42" s="10" t="s">
        <v>99</v>
      </c>
      <c r="E42" s="10" t="s">
        <v>617</v>
      </c>
      <c r="F42" s="10" t="s">
        <v>749</v>
      </c>
      <c r="G42" s="10" t="s">
        <v>743</v>
      </c>
      <c r="H42" s="10"/>
      <c r="I42" s="5" t="s">
        <v>750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745</v>
      </c>
      <c r="N42" s="16" t="s">
        <v>588</v>
      </c>
      <c r="O42" s="16" t="s">
        <v>746</v>
      </c>
      <c r="P42" s="9" t="s">
        <v>10</v>
      </c>
      <c r="Q42" s="16" t="s">
        <v>514</v>
      </c>
      <c r="R42" s="16" t="s">
        <v>350</v>
      </c>
    </row>
    <row r="43" spans="1:18" x14ac:dyDescent="0.25">
      <c r="A43" s="10">
        <f>ROW(Tabela1[[#This Row],[Toolbox No / Container No]])-1</f>
        <v>42</v>
      </c>
      <c r="B43" s="15" t="s">
        <v>262</v>
      </c>
      <c r="C43" s="15" t="s">
        <v>667</v>
      </c>
      <c r="D43" s="15" t="s">
        <v>668</v>
      </c>
      <c r="E43" s="15" t="s">
        <v>669</v>
      </c>
      <c r="F43" s="15" t="s">
        <v>662</v>
      </c>
      <c r="G43" s="15" t="s">
        <v>585</v>
      </c>
      <c r="H43" s="15" t="s">
        <v>263</v>
      </c>
      <c r="I43" s="3" t="s">
        <v>751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671</v>
      </c>
      <c r="N43" s="16" t="s">
        <v>588</v>
      </c>
      <c r="O43" s="16" t="s">
        <v>675</v>
      </c>
      <c r="P43" s="9" t="s">
        <v>10</v>
      </c>
      <c r="Q43" s="16" t="s">
        <v>515</v>
      </c>
      <c r="R43" s="16" t="s">
        <v>351</v>
      </c>
    </row>
    <row r="44" spans="1:18" x14ac:dyDescent="0.25">
      <c r="A44" s="10">
        <f>ROW(Tabela1[[#This Row],[Toolbox No / Container No]])-1</f>
        <v>43</v>
      </c>
      <c r="B44" s="10" t="s">
        <v>79</v>
      </c>
      <c r="C44" s="10" t="s">
        <v>752</v>
      </c>
      <c r="D44" s="10" t="s">
        <v>173</v>
      </c>
      <c r="E44" s="10" t="s">
        <v>617</v>
      </c>
      <c r="F44" s="10" t="s">
        <v>753</v>
      </c>
      <c r="G44" s="10" t="s">
        <v>754</v>
      </c>
      <c r="H44" s="10"/>
      <c r="I44" s="4" t="s">
        <v>755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756</v>
      </c>
      <c r="N44" s="16" t="s">
        <v>588</v>
      </c>
      <c r="O44" s="16" t="s">
        <v>757</v>
      </c>
      <c r="P44" s="9" t="s">
        <v>10</v>
      </c>
      <c r="Q44" s="16" t="s">
        <v>516</v>
      </c>
      <c r="R44" s="16" t="s">
        <v>352</v>
      </c>
    </row>
    <row r="45" spans="1:18" x14ac:dyDescent="0.25">
      <c r="A45" s="10">
        <f>ROW(Tabela1[[#This Row],[Toolbox No / Container No]])-1</f>
        <v>44</v>
      </c>
      <c r="B45" s="15" t="s">
        <v>161</v>
      </c>
      <c r="C45" s="15" t="s">
        <v>752</v>
      </c>
      <c r="D45" s="15" t="s">
        <v>758</v>
      </c>
      <c r="E45" s="15" t="s">
        <v>617</v>
      </c>
      <c r="F45" s="15" t="s">
        <v>759</v>
      </c>
      <c r="G45" s="15" t="s">
        <v>760</v>
      </c>
      <c r="H45" s="15"/>
      <c r="I45" s="5" t="s">
        <v>761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762</v>
      </c>
      <c r="N45" s="16" t="s">
        <v>588</v>
      </c>
      <c r="O45" s="16" t="s">
        <v>763</v>
      </c>
      <c r="P45" s="9" t="s">
        <v>10</v>
      </c>
      <c r="Q45" s="16" t="s">
        <v>516</v>
      </c>
      <c r="R45" s="16" t="s">
        <v>353</v>
      </c>
    </row>
    <row r="46" spans="1:18" x14ac:dyDescent="0.25">
      <c r="A46" s="10">
        <f>ROW(Tabela1[[#This Row],[Toolbox No / Container No]])-1</f>
        <v>45</v>
      </c>
      <c r="B46" s="15" t="s">
        <v>162</v>
      </c>
      <c r="C46" s="15" t="s">
        <v>752</v>
      </c>
      <c r="D46" s="15" t="s">
        <v>764</v>
      </c>
      <c r="E46" s="15" t="s">
        <v>765</v>
      </c>
      <c r="F46" s="15" t="s">
        <v>766</v>
      </c>
      <c r="G46" s="15" t="s">
        <v>767</v>
      </c>
      <c r="H46" s="15"/>
      <c r="I46" s="5" t="s">
        <v>768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769</v>
      </c>
      <c r="N46" s="16" t="s">
        <v>588</v>
      </c>
      <c r="O46" s="16" t="s">
        <v>770</v>
      </c>
      <c r="P46" s="9" t="s">
        <v>10</v>
      </c>
      <c r="Q46" s="16" t="s">
        <v>516</v>
      </c>
      <c r="R46" s="16" t="s">
        <v>354</v>
      </c>
    </row>
    <row r="47" spans="1:18" x14ac:dyDescent="0.25">
      <c r="A47" s="10">
        <f>ROW(Tabela1[[#This Row],[Toolbox No / Container No]])-1</f>
        <v>46</v>
      </c>
      <c r="B47" s="10" t="s">
        <v>163</v>
      </c>
      <c r="C47" s="10" t="s">
        <v>752</v>
      </c>
      <c r="D47" s="10" t="s">
        <v>164</v>
      </c>
      <c r="E47" s="10" t="s">
        <v>617</v>
      </c>
      <c r="F47" s="10" t="s">
        <v>771</v>
      </c>
      <c r="G47" s="10" t="s">
        <v>772</v>
      </c>
      <c r="H47" s="10"/>
      <c r="I47" s="4" t="s">
        <v>773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774</v>
      </c>
      <c r="N47" s="16" t="s">
        <v>588</v>
      </c>
      <c r="O47" s="16" t="s">
        <v>775</v>
      </c>
      <c r="P47" s="9" t="s">
        <v>10</v>
      </c>
      <c r="Q47" s="16" t="s">
        <v>516</v>
      </c>
      <c r="R47" s="16" t="s">
        <v>355</v>
      </c>
    </row>
    <row r="48" spans="1:18" x14ac:dyDescent="0.25">
      <c r="A48" s="10">
        <f>ROW(Tabela1[[#This Row],[Toolbox No / Container No]])-1</f>
        <v>47</v>
      </c>
      <c r="B48" s="15" t="s">
        <v>233</v>
      </c>
      <c r="C48" s="15" t="s">
        <v>752</v>
      </c>
      <c r="D48" s="15" t="s">
        <v>164</v>
      </c>
      <c r="E48" s="15" t="s">
        <v>617</v>
      </c>
      <c r="F48" s="15" t="s">
        <v>776</v>
      </c>
      <c r="G48" s="15" t="s">
        <v>777</v>
      </c>
      <c r="H48" s="15" t="s">
        <v>234</v>
      </c>
      <c r="I48" s="5" t="s">
        <v>778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779</v>
      </c>
      <c r="N48" s="16" t="s">
        <v>588</v>
      </c>
      <c r="O48" s="16" t="s">
        <v>780</v>
      </c>
      <c r="P48" s="9" t="s">
        <v>10</v>
      </c>
      <c r="Q48" s="16" t="s">
        <v>516</v>
      </c>
      <c r="R48" s="16" t="s">
        <v>356</v>
      </c>
    </row>
    <row r="49" spans="1:18" x14ac:dyDescent="0.25">
      <c r="A49" s="10">
        <f>ROW(Tabela1[[#This Row],[Toolbox No / Container No]])-1</f>
        <v>48</v>
      </c>
      <c r="B49" s="10" t="s">
        <v>51</v>
      </c>
      <c r="C49" s="10" t="s">
        <v>752</v>
      </c>
      <c r="D49" s="10" t="s">
        <v>52</v>
      </c>
      <c r="E49" s="10" t="s">
        <v>617</v>
      </c>
      <c r="F49" s="10" t="s">
        <v>781</v>
      </c>
      <c r="G49" s="10" t="s">
        <v>782</v>
      </c>
      <c r="H49" s="10"/>
      <c r="I49" s="4" t="s">
        <v>783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784</v>
      </c>
      <c r="N49" s="16" t="s">
        <v>593</v>
      </c>
      <c r="O49" s="16" t="s">
        <v>785</v>
      </c>
      <c r="P49" s="9" t="s">
        <v>10</v>
      </c>
      <c r="Q49" s="16" t="s">
        <v>516</v>
      </c>
      <c r="R49" s="16" t="s">
        <v>357</v>
      </c>
    </row>
    <row r="50" spans="1:18" x14ac:dyDescent="0.25">
      <c r="A50" s="10">
        <f>ROW(Tabela1[[#This Row],[Toolbox No / Container No]])-1</f>
        <v>49</v>
      </c>
      <c r="B50" s="10" t="s">
        <v>165</v>
      </c>
      <c r="C50" s="10" t="s">
        <v>752</v>
      </c>
      <c r="D50" s="10" t="s">
        <v>786</v>
      </c>
      <c r="E50" s="10" t="s">
        <v>617</v>
      </c>
      <c r="F50" s="10" t="s">
        <v>787</v>
      </c>
      <c r="G50" s="10" t="s">
        <v>760</v>
      </c>
      <c r="H50" s="10"/>
      <c r="I50" s="4" t="s">
        <v>788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789</v>
      </c>
      <c r="N50" s="16" t="s">
        <v>588</v>
      </c>
      <c r="O50" s="16" t="s">
        <v>790</v>
      </c>
      <c r="P50" s="9" t="s">
        <v>10</v>
      </c>
      <c r="Q50" s="16" t="s">
        <v>516</v>
      </c>
      <c r="R50" s="16" t="s">
        <v>358</v>
      </c>
    </row>
    <row r="51" spans="1:18" x14ac:dyDescent="0.25">
      <c r="A51" s="10">
        <f>ROW(Tabela1[[#This Row],[Toolbox No / Container No]])-1</f>
        <v>50</v>
      </c>
      <c r="B51" s="10" t="s">
        <v>166</v>
      </c>
      <c r="C51" s="10" t="s">
        <v>752</v>
      </c>
      <c r="D51" s="10" t="s">
        <v>791</v>
      </c>
      <c r="E51" s="10" t="s">
        <v>617</v>
      </c>
      <c r="F51" s="10" t="s">
        <v>792</v>
      </c>
      <c r="G51" s="10" t="s">
        <v>793</v>
      </c>
      <c r="H51" s="10"/>
      <c r="I51" s="4" t="s">
        <v>794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795</v>
      </c>
      <c r="N51" s="16" t="s">
        <v>588</v>
      </c>
      <c r="O51" s="16" t="s">
        <v>796</v>
      </c>
      <c r="P51" s="9" t="s">
        <v>10</v>
      </c>
      <c r="Q51" s="16" t="s">
        <v>516</v>
      </c>
      <c r="R51" s="16" t="s">
        <v>359</v>
      </c>
    </row>
    <row r="52" spans="1:18" x14ac:dyDescent="0.25">
      <c r="A52" s="10">
        <f>ROW(Tabela1[[#This Row],[Toolbox No / Container No]])-1</f>
        <v>51</v>
      </c>
      <c r="B52" s="15" t="s">
        <v>253</v>
      </c>
      <c r="C52" s="15" t="s">
        <v>752</v>
      </c>
      <c r="D52" s="15" t="s">
        <v>797</v>
      </c>
      <c r="E52" s="15" t="s">
        <v>617</v>
      </c>
      <c r="F52" s="15" t="s">
        <v>798</v>
      </c>
      <c r="G52" s="15" t="s">
        <v>754</v>
      </c>
      <c r="H52" s="15"/>
      <c r="I52" s="3" t="s">
        <v>799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800</v>
      </c>
      <c r="N52" s="16" t="s">
        <v>588</v>
      </c>
      <c r="O52" s="16" t="s">
        <v>801</v>
      </c>
      <c r="P52" s="9" t="s">
        <v>10</v>
      </c>
      <c r="Q52" s="16" t="s">
        <v>516</v>
      </c>
      <c r="R52" s="16" t="s">
        <v>360</v>
      </c>
    </row>
    <row r="53" spans="1:18" x14ac:dyDescent="0.25">
      <c r="A53" s="10">
        <f>ROW(Tabela1[[#This Row],[Toolbox No / Container No]])-1</f>
        <v>52</v>
      </c>
      <c r="B53" s="10" t="s">
        <v>167</v>
      </c>
      <c r="C53" s="10" t="s">
        <v>752</v>
      </c>
      <c r="D53" s="10" t="s">
        <v>758</v>
      </c>
      <c r="E53" s="10" t="s">
        <v>802</v>
      </c>
      <c r="F53" s="10" t="s">
        <v>803</v>
      </c>
      <c r="G53" s="10" t="s">
        <v>804</v>
      </c>
      <c r="H53" s="10"/>
      <c r="I53" s="4" t="s">
        <v>805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806</v>
      </c>
      <c r="N53" s="16" t="s">
        <v>588</v>
      </c>
      <c r="O53" s="16" t="s">
        <v>763</v>
      </c>
      <c r="P53" s="9" t="s">
        <v>10</v>
      </c>
      <c r="Q53" s="16" t="s">
        <v>516</v>
      </c>
      <c r="R53" s="16" t="s">
        <v>361</v>
      </c>
    </row>
    <row r="54" spans="1:18" x14ac:dyDescent="0.25">
      <c r="A54" s="10">
        <f>ROW(Tabela1[[#This Row],[Toolbox No / Container No]])-1</f>
        <v>53</v>
      </c>
      <c r="B54" s="10" t="s">
        <v>168</v>
      </c>
      <c r="C54" s="10" t="s">
        <v>752</v>
      </c>
      <c r="D54" s="10" t="s">
        <v>764</v>
      </c>
      <c r="E54" s="10" t="s">
        <v>617</v>
      </c>
      <c r="F54" s="10" t="s">
        <v>807</v>
      </c>
      <c r="G54" s="10" t="s">
        <v>808</v>
      </c>
      <c r="H54" s="10"/>
      <c r="I54" s="4" t="s">
        <v>809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810</v>
      </c>
      <c r="N54" s="16" t="s">
        <v>588</v>
      </c>
      <c r="O54" s="16" t="s">
        <v>811</v>
      </c>
      <c r="P54" s="9" t="s">
        <v>10</v>
      </c>
      <c r="Q54" s="16" t="s">
        <v>516</v>
      </c>
      <c r="R54" s="16" t="s">
        <v>362</v>
      </c>
    </row>
    <row r="55" spans="1:18" x14ac:dyDescent="0.25">
      <c r="A55" s="10">
        <f>ROW(Tabela1[[#This Row],[Toolbox No / Container No]])-1</f>
        <v>54</v>
      </c>
      <c r="B55" s="10" t="s">
        <v>169</v>
      </c>
      <c r="C55" s="10" t="s">
        <v>752</v>
      </c>
      <c r="D55" s="10" t="s">
        <v>812</v>
      </c>
      <c r="E55" s="10" t="s">
        <v>617</v>
      </c>
      <c r="F55" s="10" t="s">
        <v>813</v>
      </c>
      <c r="G55" s="10" t="s">
        <v>814</v>
      </c>
      <c r="H55" s="10"/>
      <c r="I55" s="4" t="s">
        <v>815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816</v>
      </c>
      <c r="N55" s="16" t="s">
        <v>588</v>
      </c>
      <c r="O55" s="16" t="s">
        <v>817</v>
      </c>
      <c r="P55" s="9" t="s">
        <v>10</v>
      </c>
      <c r="Q55" s="16" t="s">
        <v>516</v>
      </c>
      <c r="R55" s="16" t="s">
        <v>363</v>
      </c>
    </row>
    <row r="56" spans="1:18" x14ac:dyDescent="0.25">
      <c r="A56" s="10">
        <f>ROW(Tabela1[[#This Row],[Toolbox No / Container No]])-1</f>
        <v>55</v>
      </c>
      <c r="B56" s="10" t="s">
        <v>170</v>
      </c>
      <c r="C56" s="10" t="s">
        <v>752</v>
      </c>
      <c r="D56" s="10" t="s">
        <v>812</v>
      </c>
      <c r="E56" s="10" t="s">
        <v>617</v>
      </c>
      <c r="F56" s="10" t="s">
        <v>813</v>
      </c>
      <c r="G56" s="10" t="s">
        <v>814</v>
      </c>
      <c r="H56" s="10"/>
      <c r="I56" s="4" t="s">
        <v>818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819</v>
      </c>
      <c r="N56" s="16" t="s">
        <v>588</v>
      </c>
      <c r="O56" s="16" t="s">
        <v>757</v>
      </c>
      <c r="P56" s="9" t="s">
        <v>10</v>
      </c>
      <c r="Q56" s="16" t="s">
        <v>516</v>
      </c>
      <c r="R56" s="16" t="s">
        <v>364</v>
      </c>
    </row>
    <row r="57" spans="1:18" x14ac:dyDescent="0.25">
      <c r="A57" s="10">
        <f>ROW(Tabela1[[#This Row],[Toolbox No / Container No]])-1</f>
        <v>56</v>
      </c>
      <c r="B57" s="10" t="s">
        <v>171</v>
      </c>
      <c r="C57" s="10" t="s">
        <v>752</v>
      </c>
      <c r="D57" s="10" t="s">
        <v>758</v>
      </c>
      <c r="E57" s="10" t="s">
        <v>617</v>
      </c>
      <c r="F57" s="10" t="s">
        <v>820</v>
      </c>
      <c r="G57" s="10" t="s">
        <v>754</v>
      </c>
      <c r="H57" s="10"/>
      <c r="I57" s="4" t="s">
        <v>821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822</v>
      </c>
      <c r="N57" s="16" t="s">
        <v>588</v>
      </c>
      <c r="O57" s="16" t="s">
        <v>763</v>
      </c>
      <c r="P57" s="9" t="s">
        <v>10</v>
      </c>
      <c r="Q57" s="16" t="s">
        <v>516</v>
      </c>
      <c r="R57" s="16" t="s">
        <v>365</v>
      </c>
    </row>
    <row r="58" spans="1:18" x14ac:dyDescent="0.25">
      <c r="A58" s="10">
        <f>ROW(Tabela1[[#This Row],[Toolbox No / Container No]])-1</f>
        <v>57</v>
      </c>
      <c r="B58" s="10" t="s">
        <v>172</v>
      </c>
      <c r="C58" s="10" t="s">
        <v>752</v>
      </c>
      <c r="D58" s="10" t="s">
        <v>173</v>
      </c>
      <c r="E58" s="10" t="s">
        <v>617</v>
      </c>
      <c r="F58" s="10" t="s">
        <v>823</v>
      </c>
      <c r="G58" s="10" t="s">
        <v>767</v>
      </c>
      <c r="H58" s="10"/>
      <c r="I58" s="4" t="s">
        <v>824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825</v>
      </c>
      <c r="N58" s="16" t="s">
        <v>593</v>
      </c>
      <c r="O58" s="16" t="s">
        <v>763</v>
      </c>
      <c r="P58" s="9" t="s">
        <v>10</v>
      </c>
      <c r="Q58" s="16" t="s">
        <v>516</v>
      </c>
      <c r="R58" s="16" t="s">
        <v>366</v>
      </c>
    </row>
    <row r="59" spans="1:18" x14ac:dyDescent="0.25">
      <c r="A59" s="10">
        <f>ROW(Tabela1[[#This Row],[Toolbox No / Container No]])-1</f>
        <v>58</v>
      </c>
      <c r="B59" s="10" t="s">
        <v>174</v>
      </c>
      <c r="C59" s="10" t="s">
        <v>752</v>
      </c>
      <c r="D59" s="10" t="s">
        <v>758</v>
      </c>
      <c r="E59" s="10" t="s">
        <v>617</v>
      </c>
      <c r="F59" s="10" t="s">
        <v>820</v>
      </c>
      <c r="G59" s="10" t="s">
        <v>754</v>
      </c>
      <c r="H59" s="10"/>
      <c r="I59" s="4" t="s">
        <v>826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827</v>
      </c>
      <c r="N59" s="16" t="s">
        <v>588</v>
      </c>
      <c r="O59" s="16" t="s">
        <v>763</v>
      </c>
      <c r="P59" s="9" t="s">
        <v>10</v>
      </c>
      <c r="Q59" s="16" t="s">
        <v>516</v>
      </c>
      <c r="R59" s="16" t="s">
        <v>367</v>
      </c>
    </row>
    <row r="60" spans="1:18" x14ac:dyDescent="0.25">
      <c r="A60" s="10">
        <f>ROW(Tabela1[[#This Row],[Toolbox No / Container No]])-1</f>
        <v>59</v>
      </c>
      <c r="B60" s="10" t="s">
        <v>49</v>
      </c>
      <c r="C60" s="10" t="s">
        <v>828</v>
      </c>
      <c r="D60" s="10" t="s">
        <v>829</v>
      </c>
      <c r="E60" s="10" t="s">
        <v>617</v>
      </c>
      <c r="F60" s="10" t="s">
        <v>830</v>
      </c>
      <c r="G60" s="10" t="s">
        <v>831</v>
      </c>
      <c r="H60" s="10" t="s">
        <v>50</v>
      </c>
      <c r="I60" s="4" t="s">
        <v>832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833</v>
      </c>
      <c r="N60" s="16" t="s">
        <v>588</v>
      </c>
      <c r="O60" s="16" t="s">
        <v>834</v>
      </c>
      <c r="P60" s="9" t="s">
        <v>10</v>
      </c>
      <c r="Q60" s="16" t="s">
        <v>517</v>
      </c>
      <c r="R60" s="16" t="s">
        <v>368</v>
      </c>
    </row>
    <row r="61" spans="1:18" x14ac:dyDescent="0.25">
      <c r="A61" s="10">
        <f>ROW(Tabela1[[#This Row],[Toolbox No / Container No]])-1</f>
        <v>60</v>
      </c>
      <c r="B61" s="15" t="s">
        <v>254</v>
      </c>
      <c r="C61" s="15" t="s">
        <v>828</v>
      </c>
      <c r="D61" s="15" t="s">
        <v>56</v>
      </c>
      <c r="E61" s="15" t="s">
        <v>835</v>
      </c>
      <c r="F61" s="15" t="s">
        <v>836</v>
      </c>
      <c r="G61" s="15" t="s">
        <v>831</v>
      </c>
      <c r="H61" s="15" t="s">
        <v>255</v>
      </c>
      <c r="I61" s="3" t="s">
        <v>837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838</v>
      </c>
      <c r="N61" s="16" t="s">
        <v>588</v>
      </c>
      <c r="O61" s="16" t="s">
        <v>839</v>
      </c>
      <c r="P61" s="9" t="s">
        <v>10</v>
      </c>
      <c r="Q61" s="16" t="s">
        <v>518</v>
      </c>
      <c r="R61" s="16" t="s">
        <v>369</v>
      </c>
    </row>
    <row r="62" spans="1:18" x14ac:dyDescent="0.25">
      <c r="A62" s="10">
        <f>ROW(Tabela1[[#This Row],[Toolbox No / Container No]])-1</f>
        <v>61</v>
      </c>
      <c r="B62" s="15" t="s">
        <v>142</v>
      </c>
      <c r="C62" s="15" t="s">
        <v>840</v>
      </c>
      <c r="D62" s="15" t="s">
        <v>841</v>
      </c>
      <c r="E62" s="15" t="s">
        <v>842</v>
      </c>
      <c r="F62" s="15" t="s">
        <v>843</v>
      </c>
      <c r="G62" s="15" t="s">
        <v>743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844</v>
      </c>
      <c r="N62" s="16" t="s">
        <v>588</v>
      </c>
      <c r="O62" s="16" t="s">
        <v>845</v>
      </c>
      <c r="P62" s="9" t="s">
        <v>10</v>
      </c>
      <c r="Q62" s="16" t="s">
        <v>519</v>
      </c>
      <c r="R62" s="16" t="s">
        <v>370</v>
      </c>
    </row>
    <row r="63" spans="1:18" x14ac:dyDescent="0.25">
      <c r="A63" s="10">
        <f>ROW(Tabela1[[#This Row],[Toolbox No / Container No]])-1</f>
        <v>62</v>
      </c>
      <c r="B63" s="10" t="s">
        <v>225</v>
      </c>
      <c r="C63" s="10" t="s">
        <v>828</v>
      </c>
      <c r="D63" s="10" t="s">
        <v>582</v>
      </c>
      <c r="E63" s="10" t="s">
        <v>846</v>
      </c>
      <c r="F63" s="10" t="s">
        <v>847</v>
      </c>
      <c r="G63" s="10" t="s">
        <v>848</v>
      </c>
      <c r="H63" s="10" t="s">
        <v>226</v>
      </c>
      <c r="I63" s="4" t="s">
        <v>849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850</v>
      </c>
      <c r="N63" s="16" t="s">
        <v>588</v>
      </c>
      <c r="O63" s="16" t="s">
        <v>851</v>
      </c>
      <c r="P63" s="9" t="s">
        <v>10</v>
      </c>
      <c r="Q63" s="16" t="s">
        <v>520</v>
      </c>
      <c r="R63" s="16" t="s">
        <v>371</v>
      </c>
    </row>
    <row r="64" spans="1:18" x14ac:dyDescent="0.25">
      <c r="A64" s="10">
        <f>ROW(Tabela1[[#This Row],[Toolbox No / Container No]])-1</f>
        <v>63</v>
      </c>
      <c r="B64" s="15" t="s">
        <v>256</v>
      </c>
      <c r="C64" s="15" t="s">
        <v>852</v>
      </c>
      <c r="D64" s="15" t="s">
        <v>56</v>
      </c>
      <c r="E64" s="15" t="s">
        <v>853</v>
      </c>
      <c r="F64" s="15" t="s">
        <v>854</v>
      </c>
      <c r="G64" s="15" t="s">
        <v>743</v>
      </c>
      <c r="H64" s="15" t="s">
        <v>257</v>
      </c>
      <c r="I64" s="3" t="s">
        <v>855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856</v>
      </c>
      <c r="N64" s="16" t="s">
        <v>588</v>
      </c>
      <c r="O64" s="16" t="s">
        <v>857</v>
      </c>
      <c r="P64" s="9" t="s">
        <v>10</v>
      </c>
      <c r="Q64" s="16" t="s">
        <v>521</v>
      </c>
      <c r="R64" s="16" t="s">
        <v>372</v>
      </c>
    </row>
    <row r="65" spans="1:18" x14ac:dyDescent="0.25">
      <c r="A65" s="10">
        <f>ROW(Tabela1[[#This Row],[Toolbox No / Container No]])-1</f>
        <v>64</v>
      </c>
      <c r="B65" s="10" t="s">
        <v>80</v>
      </c>
      <c r="C65" s="10" t="s">
        <v>858</v>
      </c>
      <c r="D65" s="10" t="s">
        <v>859</v>
      </c>
      <c r="E65" s="10" t="s">
        <v>860</v>
      </c>
      <c r="F65" s="10" t="s">
        <v>861</v>
      </c>
      <c r="G65" s="10" t="s">
        <v>862</v>
      </c>
      <c r="H65" s="10" t="s">
        <v>81</v>
      </c>
      <c r="I65" s="4" t="s">
        <v>863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864</v>
      </c>
      <c r="N65" s="16" t="s">
        <v>588</v>
      </c>
      <c r="O65" s="16" t="s">
        <v>865</v>
      </c>
      <c r="P65" s="9" t="s">
        <v>10</v>
      </c>
      <c r="Q65" s="16" t="s">
        <v>522</v>
      </c>
      <c r="R65" s="16" t="s">
        <v>373</v>
      </c>
    </row>
    <row r="66" spans="1:18" x14ac:dyDescent="0.25">
      <c r="A66" s="10">
        <f>ROW(Tabela1[[#This Row],[Toolbox No / Container No]])-1</f>
        <v>65</v>
      </c>
      <c r="B66" s="15" t="s">
        <v>235</v>
      </c>
      <c r="C66" s="15" t="s">
        <v>858</v>
      </c>
      <c r="D66" s="15" t="s">
        <v>829</v>
      </c>
      <c r="E66" s="15" t="s">
        <v>866</v>
      </c>
      <c r="F66" s="15" t="s">
        <v>867</v>
      </c>
      <c r="G66" s="15" t="s">
        <v>743</v>
      </c>
      <c r="H66" s="15" t="s">
        <v>236</v>
      </c>
      <c r="I66" s="5" t="s">
        <v>868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869</v>
      </c>
      <c r="N66" s="16" t="s">
        <v>588</v>
      </c>
      <c r="O66" s="16" t="s">
        <v>870</v>
      </c>
      <c r="P66" s="9" t="s">
        <v>10</v>
      </c>
      <c r="Q66" s="16" t="s">
        <v>523</v>
      </c>
      <c r="R66" s="16" t="s">
        <v>374</v>
      </c>
    </row>
    <row r="67" spans="1:18" x14ac:dyDescent="0.25">
      <c r="A67" s="10">
        <f>ROW(Tabela1[[#This Row],[Toolbox No / Container No]])-1</f>
        <v>66</v>
      </c>
      <c r="B67" s="15" t="s">
        <v>237</v>
      </c>
      <c r="C67" s="15" t="s">
        <v>858</v>
      </c>
      <c r="D67" s="15" t="s">
        <v>829</v>
      </c>
      <c r="E67" s="15" t="s">
        <v>866</v>
      </c>
      <c r="F67" s="15" t="s">
        <v>867</v>
      </c>
      <c r="G67" s="15" t="s">
        <v>743</v>
      </c>
      <c r="H67" s="15" t="s">
        <v>238</v>
      </c>
      <c r="I67" s="5" t="s">
        <v>871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872</v>
      </c>
      <c r="N67" s="16" t="s">
        <v>588</v>
      </c>
      <c r="O67" s="16" t="s">
        <v>870</v>
      </c>
      <c r="P67" s="9" t="s">
        <v>10</v>
      </c>
      <c r="Q67" s="16" t="s">
        <v>523</v>
      </c>
      <c r="R67" s="16" t="s">
        <v>375</v>
      </c>
    </row>
    <row r="68" spans="1:18" x14ac:dyDescent="0.25">
      <c r="A68" s="10">
        <f>ROW(Tabela1[[#This Row],[Toolbox No / Container No]])-1</f>
        <v>67</v>
      </c>
      <c r="B68" s="10" t="s">
        <v>199</v>
      </c>
      <c r="C68" s="10" t="s">
        <v>873</v>
      </c>
      <c r="D68" s="10" t="s">
        <v>874</v>
      </c>
      <c r="E68" s="10" t="s">
        <v>617</v>
      </c>
      <c r="F68" s="10" t="s">
        <v>875</v>
      </c>
      <c r="G68" s="10" t="s">
        <v>876</v>
      </c>
      <c r="H68" s="10" t="s">
        <v>200</v>
      </c>
      <c r="I68" s="4" t="s">
        <v>877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878</v>
      </c>
      <c r="N68" s="16" t="s">
        <v>588</v>
      </c>
      <c r="O68" s="16" t="s">
        <v>879</v>
      </c>
      <c r="P68" s="9" t="s">
        <v>10</v>
      </c>
      <c r="Q68" s="16" t="s">
        <v>524</v>
      </c>
      <c r="R68" s="16" t="s">
        <v>376</v>
      </c>
    </row>
    <row r="69" spans="1:18" x14ac:dyDescent="0.25">
      <c r="A69" s="10">
        <f>ROW(Tabela1[[#This Row],[Toolbox No / Container No]])-1</f>
        <v>68</v>
      </c>
      <c r="B69" s="10" t="s">
        <v>227</v>
      </c>
      <c r="C69" s="10" t="s">
        <v>880</v>
      </c>
      <c r="D69" s="10" t="s">
        <v>881</v>
      </c>
      <c r="E69" s="10" t="s">
        <v>617</v>
      </c>
      <c r="F69" s="10" t="s">
        <v>690</v>
      </c>
      <c r="G69" s="10" t="s">
        <v>882</v>
      </c>
      <c r="H69" s="10" t="s">
        <v>228</v>
      </c>
      <c r="I69" s="4" t="s">
        <v>883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884</v>
      </c>
      <c r="N69" s="16" t="s">
        <v>588</v>
      </c>
      <c r="O69" s="16" t="s">
        <v>688</v>
      </c>
      <c r="P69" s="9" t="s">
        <v>10</v>
      </c>
      <c r="Q69" s="16" t="s">
        <v>524</v>
      </c>
      <c r="R69" s="16" t="s">
        <v>377</v>
      </c>
    </row>
    <row r="70" spans="1:18" x14ac:dyDescent="0.25">
      <c r="A70" s="10">
        <f>ROW(Tabela1[[#This Row],[Toolbox No / Container No]])-1</f>
        <v>69</v>
      </c>
      <c r="B70" s="15" t="s">
        <v>258</v>
      </c>
      <c r="C70" s="15" t="s">
        <v>885</v>
      </c>
      <c r="D70" s="15" t="s">
        <v>881</v>
      </c>
      <c r="E70" s="15" t="s">
        <v>617</v>
      </c>
      <c r="F70" s="15" t="s">
        <v>886</v>
      </c>
      <c r="G70" s="15" t="s">
        <v>743</v>
      </c>
      <c r="H70" s="15" t="s">
        <v>276</v>
      </c>
      <c r="I70" s="6" t="s">
        <v>887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888</v>
      </c>
      <c r="N70" s="16" t="s">
        <v>588</v>
      </c>
      <c r="O70" s="16" t="s">
        <v>889</v>
      </c>
      <c r="P70" s="9" t="s">
        <v>10</v>
      </c>
      <c r="Q70" s="16" t="s">
        <v>525</v>
      </c>
      <c r="R70" s="16" t="s">
        <v>378</v>
      </c>
    </row>
    <row r="71" spans="1:18" x14ac:dyDescent="0.25">
      <c r="A71" s="10">
        <f>ROW(Tabela1[[#This Row],[Toolbox No / Container No]])-1</f>
        <v>70</v>
      </c>
      <c r="B71" s="15" t="s">
        <v>258</v>
      </c>
      <c r="C71" s="15" t="s">
        <v>890</v>
      </c>
      <c r="D71" s="15" t="s">
        <v>881</v>
      </c>
      <c r="E71" s="15" t="s">
        <v>617</v>
      </c>
      <c r="F71" s="15" t="s">
        <v>891</v>
      </c>
      <c r="G71" s="15" t="s">
        <v>882</v>
      </c>
      <c r="H71" s="15" t="s">
        <v>277</v>
      </c>
      <c r="I71" s="6" t="s">
        <v>892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893</v>
      </c>
      <c r="N71" s="16" t="s">
        <v>588</v>
      </c>
      <c r="O71" s="16" t="s">
        <v>894</v>
      </c>
      <c r="P71" s="9" t="s">
        <v>10</v>
      </c>
      <c r="Q71" s="16" t="s">
        <v>525</v>
      </c>
      <c r="R71" s="16" t="s">
        <v>378</v>
      </c>
    </row>
    <row r="72" spans="1:18" x14ac:dyDescent="0.25">
      <c r="A72" s="10">
        <f>ROW(Tabela1[[#This Row],[Toolbox No / Container No]])-1</f>
        <v>71</v>
      </c>
      <c r="B72" s="15" t="s">
        <v>258</v>
      </c>
      <c r="C72" s="15" t="s">
        <v>890</v>
      </c>
      <c r="D72" s="15" t="s">
        <v>881</v>
      </c>
      <c r="E72" s="15" t="s">
        <v>617</v>
      </c>
      <c r="F72" s="15" t="s">
        <v>895</v>
      </c>
      <c r="G72" s="15" t="s">
        <v>882</v>
      </c>
      <c r="H72" s="15" t="s">
        <v>278</v>
      </c>
      <c r="I72" s="6" t="s">
        <v>896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897</v>
      </c>
      <c r="N72" s="16" t="s">
        <v>588</v>
      </c>
      <c r="O72" s="16" t="s">
        <v>894</v>
      </c>
      <c r="P72" s="9" t="s">
        <v>10</v>
      </c>
      <c r="Q72" s="16" t="s">
        <v>525</v>
      </c>
      <c r="R72" s="16" t="s">
        <v>378</v>
      </c>
    </row>
    <row r="73" spans="1:18" x14ac:dyDescent="0.25">
      <c r="A73" s="10">
        <f>ROW(Tabela1[[#This Row],[Toolbox No / Container No]])-1</f>
        <v>72</v>
      </c>
      <c r="B73" s="15" t="s">
        <v>258</v>
      </c>
      <c r="C73" s="15" t="s">
        <v>890</v>
      </c>
      <c r="D73" s="15" t="s">
        <v>881</v>
      </c>
      <c r="E73" s="15" t="s">
        <v>617</v>
      </c>
      <c r="F73" s="15" t="s">
        <v>898</v>
      </c>
      <c r="G73" s="15" t="s">
        <v>882</v>
      </c>
      <c r="H73" s="15" t="s">
        <v>279</v>
      </c>
      <c r="I73" s="6" t="s">
        <v>899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900</v>
      </c>
      <c r="N73" s="16" t="s">
        <v>588</v>
      </c>
      <c r="O73" s="16" t="s">
        <v>901</v>
      </c>
      <c r="P73" s="9" t="s">
        <v>10</v>
      </c>
      <c r="Q73" s="16" t="s">
        <v>525</v>
      </c>
      <c r="R73" s="16" t="s">
        <v>378</v>
      </c>
    </row>
    <row r="74" spans="1:18" x14ac:dyDescent="0.25">
      <c r="A74" s="10">
        <f>ROW(Tabela1[[#This Row],[Toolbox No / Container No]])-1</f>
        <v>73</v>
      </c>
      <c r="B74" s="15" t="s">
        <v>258</v>
      </c>
      <c r="C74" s="15" t="s">
        <v>890</v>
      </c>
      <c r="D74" s="15" t="s">
        <v>881</v>
      </c>
      <c r="E74" s="15" t="s">
        <v>617</v>
      </c>
      <c r="F74" s="15" t="s">
        <v>902</v>
      </c>
      <c r="G74" s="15" t="s">
        <v>882</v>
      </c>
      <c r="H74" s="15" t="s">
        <v>280</v>
      </c>
      <c r="I74" s="6" t="s">
        <v>903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904</v>
      </c>
      <c r="N74" s="16" t="s">
        <v>588</v>
      </c>
      <c r="O74" s="16" t="s">
        <v>894</v>
      </c>
      <c r="P74" s="9" t="s">
        <v>10</v>
      </c>
      <c r="Q74" s="16" t="s">
        <v>525</v>
      </c>
      <c r="R74" s="16" t="s">
        <v>378</v>
      </c>
    </row>
    <row r="75" spans="1:18" x14ac:dyDescent="0.25">
      <c r="A75" s="10">
        <f>ROW(Tabela1[[#This Row],[Toolbox No / Container No]])-1</f>
        <v>74</v>
      </c>
      <c r="B75" s="15" t="s">
        <v>258</v>
      </c>
      <c r="C75" s="15" t="s">
        <v>890</v>
      </c>
      <c r="D75" s="15" t="s">
        <v>881</v>
      </c>
      <c r="E75" s="15" t="s">
        <v>617</v>
      </c>
      <c r="F75" s="15" t="s">
        <v>905</v>
      </c>
      <c r="G75" s="15" t="s">
        <v>876</v>
      </c>
      <c r="H75" s="15" t="s">
        <v>281</v>
      </c>
      <c r="I75" s="6" t="s">
        <v>906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904</v>
      </c>
      <c r="N75" s="16" t="s">
        <v>588</v>
      </c>
      <c r="O75" s="16" t="s">
        <v>894</v>
      </c>
      <c r="P75" s="9" t="s">
        <v>10</v>
      </c>
      <c r="Q75" s="16" t="s">
        <v>525</v>
      </c>
      <c r="R75" s="16" t="s">
        <v>378</v>
      </c>
    </row>
    <row r="76" spans="1:18" x14ac:dyDescent="0.25">
      <c r="A76" s="10">
        <f>ROW(Tabela1[[#This Row],[Toolbox No / Container No]])-1</f>
        <v>75</v>
      </c>
      <c r="B76" s="15" t="s">
        <v>258</v>
      </c>
      <c r="C76" s="15" t="s">
        <v>890</v>
      </c>
      <c r="D76" s="15" t="s">
        <v>881</v>
      </c>
      <c r="E76" s="15" t="s">
        <v>617</v>
      </c>
      <c r="F76" s="15" t="s">
        <v>907</v>
      </c>
      <c r="G76" s="15" t="s">
        <v>882</v>
      </c>
      <c r="H76" s="15" t="s">
        <v>259</v>
      </c>
      <c r="I76" s="3" t="s">
        <v>908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904</v>
      </c>
      <c r="N76" s="16" t="s">
        <v>588</v>
      </c>
      <c r="O76" s="16" t="s">
        <v>894</v>
      </c>
      <c r="P76" s="9" t="s">
        <v>10</v>
      </c>
      <c r="Q76" s="16" t="s">
        <v>525</v>
      </c>
      <c r="R76" s="16" t="s">
        <v>378</v>
      </c>
    </row>
    <row r="77" spans="1:18" x14ac:dyDescent="0.25">
      <c r="A77" s="10">
        <f>ROW(Tabela1[[#This Row],[Toolbox No / Container No]])-1</f>
        <v>76</v>
      </c>
      <c r="B77" s="15" t="s">
        <v>258</v>
      </c>
      <c r="C77" s="15" t="s">
        <v>885</v>
      </c>
      <c r="D77" s="15" t="s">
        <v>881</v>
      </c>
      <c r="E77" s="15" t="s">
        <v>617</v>
      </c>
      <c r="F77" s="15" t="s">
        <v>909</v>
      </c>
      <c r="G77" s="15" t="s">
        <v>743</v>
      </c>
      <c r="H77" s="15" t="s">
        <v>282</v>
      </c>
      <c r="I77" s="6" t="s">
        <v>910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911</v>
      </c>
      <c r="N77" s="16" t="s">
        <v>588</v>
      </c>
      <c r="O77" s="16" t="s">
        <v>889</v>
      </c>
      <c r="P77" s="9" t="s">
        <v>10</v>
      </c>
      <c r="Q77" s="16" t="s">
        <v>525</v>
      </c>
      <c r="R77" s="16" t="s">
        <v>378</v>
      </c>
    </row>
    <row r="78" spans="1:18" x14ac:dyDescent="0.25">
      <c r="A78" s="10">
        <f>ROW(Tabela1[[#This Row],[Toolbox No / Container No]])-1</f>
        <v>77</v>
      </c>
      <c r="B78" s="15" t="s">
        <v>258</v>
      </c>
      <c r="C78" s="15" t="s">
        <v>890</v>
      </c>
      <c r="D78" s="15" t="s">
        <v>881</v>
      </c>
      <c r="E78" s="15" t="s">
        <v>617</v>
      </c>
      <c r="F78" s="15" t="s">
        <v>912</v>
      </c>
      <c r="G78" s="15" t="s">
        <v>882</v>
      </c>
      <c r="H78" s="15" t="s">
        <v>260</v>
      </c>
      <c r="I78" s="3" t="s">
        <v>913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897</v>
      </c>
      <c r="N78" s="16" t="s">
        <v>588</v>
      </c>
      <c r="O78" s="16" t="s">
        <v>894</v>
      </c>
      <c r="P78" s="9" t="s">
        <v>10</v>
      </c>
      <c r="Q78" s="16" t="s">
        <v>525</v>
      </c>
      <c r="R78" s="16" t="s">
        <v>378</v>
      </c>
    </row>
    <row r="79" spans="1:18" x14ac:dyDescent="0.25">
      <c r="A79" s="10">
        <f>ROW(Tabela1[[#This Row],[Toolbox No / Container No]])-1</f>
        <v>78</v>
      </c>
      <c r="B79" s="15" t="s">
        <v>258</v>
      </c>
      <c r="C79" s="15" t="s">
        <v>890</v>
      </c>
      <c r="D79" s="15" t="s">
        <v>881</v>
      </c>
      <c r="E79" s="15" t="s">
        <v>617</v>
      </c>
      <c r="F79" s="15" t="s">
        <v>914</v>
      </c>
      <c r="G79" s="15" t="s">
        <v>882</v>
      </c>
      <c r="H79" s="15" t="s">
        <v>261</v>
      </c>
      <c r="I79" s="3" t="s">
        <v>915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916</v>
      </c>
      <c r="N79" s="16" t="s">
        <v>588</v>
      </c>
      <c r="O79" s="16" t="s">
        <v>894</v>
      </c>
      <c r="P79" s="9" t="s">
        <v>10</v>
      </c>
      <c r="Q79" s="16" t="s">
        <v>525</v>
      </c>
      <c r="R79" s="16" t="s">
        <v>378</v>
      </c>
    </row>
    <row r="80" spans="1:18" x14ac:dyDescent="0.25">
      <c r="A80" s="10">
        <f>ROW(Tabela1[[#This Row],[Toolbox No / Container No]])-1</f>
        <v>79</v>
      </c>
      <c r="B80" s="15" t="s">
        <v>274</v>
      </c>
      <c r="C80" s="15" t="s">
        <v>890</v>
      </c>
      <c r="D80" s="15" t="s">
        <v>14</v>
      </c>
      <c r="E80" s="15" t="s">
        <v>917</v>
      </c>
      <c r="F80" s="15" t="s">
        <v>918</v>
      </c>
      <c r="G80" s="15" t="s">
        <v>882</v>
      </c>
      <c r="H80" s="15" t="s">
        <v>275</v>
      </c>
      <c r="I80" s="6" t="s">
        <v>919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920</v>
      </c>
      <c r="N80" s="16" t="s">
        <v>588</v>
      </c>
      <c r="O80" s="16" t="s">
        <v>921</v>
      </c>
      <c r="P80" s="9" t="s">
        <v>10</v>
      </c>
      <c r="Q80" s="16" t="s">
        <v>525</v>
      </c>
      <c r="R80" s="16" t="s">
        <v>379</v>
      </c>
    </row>
    <row r="81" spans="1:18" x14ac:dyDescent="0.25">
      <c r="A81" s="10">
        <f>ROW(Tabela1[[#This Row],[Toolbox No / Container No]])-1</f>
        <v>80</v>
      </c>
      <c r="B81" s="15" t="s">
        <v>258</v>
      </c>
      <c r="C81" s="15" t="s">
        <v>885</v>
      </c>
      <c r="D81" s="15" t="s">
        <v>881</v>
      </c>
      <c r="E81" s="15" t="s">
        <v>617</v>
      </c>
      <c r="F81" s="15" t="s">
        <v>909</v>
      </c>
      <c r="G81" s="15" t="s">
        <v>743</v>
      </c>
      <c r="H81" s="15" t="s">
        <v>283</v>
      </c>
      <c r="I81" s="6" t="s">
        <v>922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923</v>
      </c>
      <c r="N81" s="16" t="s">
        <v>588</v>
      </c>
      <c r="O81" s="16" t="s">
        <v>889</v>
      </c>
      <c r="P81" s="9" t="s">
        <v>10</v>
      </c>
      <c r="Q81" s="16" t="s">
        <v>525</v>
      </c>
      <c r="R81" s="16" t="s">
        <v>378</v>
      </c>
    </row>
    <row r="82" spans="1:18" x14ac:dyDescent="0.25">
      <c r="A82" s="10">
        <f>ROW(Tabela1[[#This Row],[Toolbox No / Container No]])-1</f>
        <v>81</v>
      </c>
      <c r="B82" s="15" t="s">
        <v>258</v>
      </c>
      <c r="C82" s="15" t="s">
        <v>885</v>
      </c>
      <c r="D82" s="15" t="s">
        <v>881</v>
      </c>
      <c r="E82" s="15" t="s">
        <v>617</v>
      </c>
      <c r="F82" s="15" t="s">
        <v>924</v>
      </c>
      <c r="G82" s="15" t="s">
        <v>743</v>
      </c>
      <c r="H82" s="15" t="s">
        <v>284</v>
      </c>
      <c r="I82" s="6" t="s">
        <v>925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926</v>
      </c>
      <c r="N82" s="16" t="s">
        <v>588</v>
      </c>
      <c r="O82" s="16" t="s">
        <v>889</v>
      </c>
      <c r="P82" s="9" t="s">
        <v>10</v>
      </c>
      <c r="Q82" s="16" t="s">
        <v>525</v>
      </c>
      <c r="R82" s="16" t="s">
        <v>378</v>
      </c>
    </row>
    <row r="83" spans="1:18" x14ac:dyDescent="0.25">
      <c r="A83" s="10">
        <f>ROW(Tabela1[[#This Row],[Toolbox No / Container No]])-1</f>
        <v>82</v>
      </c>
      <c r="B83" s="10" t="s">
        <v>184</v>
      </c>
      <c r="C83" s="10" t="s">
        <v>581</v>
      </c>
      <c r="D83" s="10" t="s">
        <v>596</v>
      </c>
      <c r="E83" s="10">
        <v>305</v>
      </c>
      <c r="F83" s="10" t="s">
        <v>597</v>
      </c>
      <c r="G83" s="10" t="s">
        <v>585</v>
      </c>
      <c r="H83" s="10" t="s">
        <v>185</v>
      </c>
      <c r="I83" s="4" t="s">
        <v>927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599</v>
      </c>
      <c r="N83" s="16" t="s">
        <v>588</v>
      </c>
      <c r="O83" s="16" t="s">
        <v>589</v>
      </c>
      <c r="P83" s="9" t="s">
        <v>10</v>
      </c>
      <c r="Q83" s="16" t="s">
        <v>525</v>
      </c>
      <c r="R83" s="16" t="s">
        <v>380</v>
      </c>
    </row>
    <row r="84" spans="1:18" x14ac:dyDescent="0.25">
      <c r="A84" s="10">
        <f>ROW(Tabela1[[#This Row],[Toolbox No / Container No]])-1</f>
        <v>83</v>
      </c>
      <c r="B84" s="10" t="s">
        <v>188</v>
      </c>
      <c r="C84" s="10" t="s">
        <v>928</v>
      </c>
      <c r="D84" s="10" t="s">
        <v>14</v>
      </c>
      <c r="E84" s="10" t="s">
        <v>929</v>
      </c>
      <c r="F84" s="10" t="s">
        <v>930</v>
      </c>
      <c r="G84" s="10" t="s">
        <v>931</v>
      </c>
      <c r="H84" s="10" t="s">
        <v>189</v>
      </c>
      <c r="I84" s="4" t="s">
        <v>932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933</v>
      </c>
      <c r="N84" s="16" t="s">
        <v>588</v>
      </c>
      <c r="O84" s="16" t="s">
        <v>934</v>
      </c>
      <c r="P84" s="9" t="s">
        <v>10</v>
      </c>
      <c r="Q84" s="16" t="s">
        <v>526</v>
      </c>
      <c r="R84" s="16" t="s">
        <v>381</v>
      </c>
    </row>
    <row r="85" spans="1:18" x14ac:dyDescent="0.25">
      <c r="A85" s="10">
        <f>ROW(Tabela1[[#This Row],[Toolbox No / Container No]])-1</f>
        <v>84</v>
      </c>
      <c r="B85" s="10" t="s">
        <v>186</v>
      </c>
      <c r="C85" s="10" t="s">
        <v>928</v>
      </c>
      <c r="D85" s="10" t="s">
        <v>14</v>
      </c>
      <c r="E85" s="10" t="s">
        <v>935</v>
      </c>
      <c r="F85" s="10" t="s">
        <v>936</v>
      </c>
      <c r="G85" s="10" t="s">
        <v>931</v>
      </c>
      <c r="H85" s="10" t="s">
        <v>187</v>
      </c>
      <c r="I85" s="4" t="s">
        <v>937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938</v>
      </c>
      <c r="N85" s="16" t="s">
        <v>588</v>
      </c>
      <c r="O85" s="16" t="s">
        <v>939</v>
      </c>
      <c r="P85" s="9" t="s">
        <v>10</v>
      </c>
      <c r="Q85" s="16" t="s">
        <v>526</v>
      </c>
      <c r="R85" s="16" t="s">
        <v>382</v>
      </c>
    </row>
    <row r="86" spans="1:18" x14ac:dyDescent="0.25">
      <c r="A86" s="10">
        <f>ROW(Tabela1[[#This Row],[Toolbox No / Container No]])-1</f>
        <v>85</v>
      </c>
      <c r="B86" s="10" t="s">
        <v>210</v>
      </c>
      <c r="C86" s="10" t="s">
        <v>940</v>
      </c>
      <c r="D86" s="10" t="s">
        <v>14</v>
      </c>
      <c r="E86" s="10" t="s">
        <v>941</v>
      </c>
      <c r="F86" s="10" t="s">
        <v>942</v>
      </c>
      <c r="G86" s="10" t="s">
        <v>931</v>
      </c>
      <c r="H86" s="10" t="s">
        <v>211</v>
      </c>
      <c r="I86" s="4" t="s">
        <v>943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938</v>
      </c>
      <c r="N86" s="16" t="s">
        <v>588</v>
      </c>
      <c r="O86" s="16" t="s">
        <v>944</v>
      </c>
      <c r="P86" s="9" t="s">
        <v>10</v>
      </c>
      <c r="Q86" s="16" t="s">
        <v>526</v>
      </c>
      <c r="R86" s="16" t="s">
        <v>383</v>
      </c>
    </row>
    <row r="87" spans="1:18" x14ac:dyDescent="0.25">
      <c r="A87" s="10">
        <f>ROW(Tabela1[[#This Row],[Toolbox No / Container No]])-1</f>
        <v>86</v>
      </c>
      <c r="B87" s="10" t="s">
        <v>190</v>
      </c>
      <c r="C87" s="10" t="s">
        <v>928</v>
      </c>
      <c r="D87" s="10" t="s">
        <v>14</v>
      </c>
      <c r="E87" s="10" t="s">
        <v>945</v>
      </c>
      <c r="F87" s="10" t="s">
        <v>946</v>
      </c>
      <c r="G87" s="10" t="s">
        <v>931</v>
      </c>
      <c r="H87" s="10"/>
      <c r="I87" s="4" t="s">
        <v>947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933</v>
      </c>
      <c r="N87" s="16" t="s">
        <v>588</v>
      </c>
      <c r="O87" s="16" t="s">
        <v>944</v>
      </c>
      <c r="P87" s="9" t="s">
        <v>10</v>
      </c>
      <c r="Q87" s="16" t="s">
        <v>526</v>
      </c>
      <c r="R87" s="16" t="s">
        <v>384</v>
      </c>
    </row>
    <row r="88" spans="1:18" x14ac:dyDescent="0.25">
      <c r="A88" s="10">
        <f>ROW(Tabela1[[#This Row],[Toolbox No / Container No]])-1</f>
        <v>87</v>
      </c>
      <c r="B88" s="10" t="s">
        <v>193</v>
      </c>
      <c r="C88" s="10" t="s">
        <v>928</v>
      </c>
      <c r="D88" s="10" t="s">
        <v>14</v>
      </c>
      <c r="E88" s="10" t="s">
        <v>948</v>
      </c>
      <c r="F88" s="10" t="s">
        <v>949</v>
      </c>
      <c r="G88" s="10" t="s">
        <v>931</v>
      </c>
      <c r="H88" s="10" t="s">
        <v>194</v>
      </c>
      <c r="I88" s="4" t="s">
        <v>950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951</v>
      </c>
      <c r="N88" s="16" t="s">
        <v>588</v>
      </c>
      <c r="O88" s="16" t="s">
        <v>952</v>
      </c>
      <c r="P88" s="9" t="s">
        <v>10</v>
      </c>
      <c r="Q88" s="16" t="s">
        <v>526</v>
      </c>
      <c r="R88" s="16" t="s">
        <v>385</v>
      </c>
    </row>
    <row r="89" spans="1:18" x14ac:dyDescent="0.25">
      <c r="A89" s="10">
        <f>ROW(Tabela1[[#This Row],[Toolbox No / Container No]])-1</f>
        <v>88</v>
      </c>
      <c r="B89" s="10" t="s">
        <v>191</v>
      </c>
      <c r="C89" s="10" t="s">
        <v>940</v>
      </c>
      <c r="D89" s="10" t="s">
        <v>14</v>
      </c>
      <c r="E89" s="10" t="s">
        <v>953</v>
      </c>
      <c r="F89" s="10" t="s">
        <v>954</v>
      </c>
      <c r="G89" s="10" t="s">
        <v>931</v>
      </c>
      <c r="H89" s="10" t="s">
        <v>192</v>
      </c>
      <c r="I89" s="4" t="s">
        <v>955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951</v>
      </c>
      <c r="N89" s="16" t="s">
        <v>588</v>
      </c>
      <c r="O89" s="16" t="s">
        <v>952</v>
      </c>
      <c r="P89" s="9" t="s">
        <v>10</v>
      </c>
      <c r="Q89" s="16" t="s">
        <v>526</v>
      </c>
      <c r="R89" s="16" t="s">
        <v>386</v>
      </c>
    </row>
    <row r="90" spans="1:18" x14ac:dyDescent="0.25">
      <c r="A90" s="10">
        <f>ROW(Tabela1[[#This Row],[Toolbox No / Container No]])-1</f>
        <v>89</v>
      </c>
      <c r="B90" s="10" t="s">
        <v>84</v>
      </c>
      <c r="C90" s="10" t="s">
        <v>956</v>
      </c>
      <c r="D90" s="10" t="s">
        <v>85</v>
      </c>
      <c r="E90" s="10" t="s">
        <v>957</v>
      </c>
      <c r="F90" s="10" t="s">
        <v>958</v>
      </c>
      <c r="G90" s="10" t="s">
        <v>882</v>
      </c>
      <c r="H90" s="10" t="s">
        <v>86</v>
      </c>
      <c r="I90" s="4" t="s">
        <v>959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960</v>
      </c>
      <c r="N90" s="16" t="s">
        <v>961</v>
      </c>
      <c r="O90" s="16" t="s">
        <v>962</v>
      </c>
      <c r="P90" s="9" t="s">
        <v>10</v>
      </c>
      <c r="Q90" s="16" t="s">
        <v>527</v>
      </c>
      <c r="R90" s="16" t="s">
        <v>387</v>
      </c>
    </row>
    <row r="91" spans="1:18" x14ac:dyDescent="0.25">
      <c r="A91" s="10">
        <f>ROW(Tabela1[[#This Row],[Toolbox No / Container No]])-1</f>
        <v>90</v>
      </c>
      <c r="B91" s="10" t="s">
        <v>195</v>
      </c>
      <c r="C91" s="10" t="s">
        <v>963</v>
      </c>
      <c r="D91" s="10" t="s">
        <v>964</v>
      </c>
      <c r="E91" s="10" t="s">
        <v>617</v>
      </c>
      <c r="F91" s="10" t="s">
        <v>965</v>
      </c>
      <c r="G91" s="10" t="s">
        <v>876</v>
      </c>
      <c r="H91" s="10" t="s">
        <v>196</v>
      </c>
      <c r="I91" s="4" t="s">
        <v>966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967</v>
      </c>
      <c r="N91" s="16" t="s">
        <v>588</v>
      </c>
      <c r="O91" s="16" t="s">
        <v>879</v>
      </c>
      <c r="P91" s="9" t="s">
        <v>10</v>
      </c>
      <c r="Q91" s="16" t="s">
        <v>528</v>
      </c>
      <c r="R91" s="16" t="s">
        <v>388</v>
      </c>
    </row>
    <row r="92" spans="1:18" x14ac:dyDescent="0.25">
      <c r="A92" s="10">
        <f>ROW(Tabela1[[#This Row],[Toolbox No / Container No]])-1</f>
        <v>91</v>
      </c>
      <c r="B92" s="10" t="s">
        <v>197</v>
      </c>
      <c r="C92" s="10" t="s">
        <v>963</v>
      </c>
      <c r="D92" s="10" t="s">
        <v>964</v>
      </c>
      <c r="E92" s="10" t="s">
        <v>617</v>
      </c>
      <c r="F92" s="10" t="s">
        <v>965</v>
      </c>
      <c r="G92" s="10" t="s">
        <v>876</v>
      </c>
      <c r="H92" s="10" t="s">
        <v>198</v>
      </c>
      <c r="I92" s="4" t="s">
        <v>968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969</v>
      </c>
      <c r="N92" s="16" t="s">
        <v>588</v>
      </c>
      <c r="O92" s="16" t="s">
        <v>879</v>
      </c>
      <c r="P92" s="9" t="s">
        <v>10</v>
      </c>
      <c r="Q92" s="16" t="s">
        <v>528</v>
      </c>
      <c r="R92" s="16" t="s">
        <v>389</v>
      </c>
    </row>
    <row r="93" spans="1:18" x14ac:dyDescent="0.25">
      <c r="A93" s="10">
        <f>ROW(Tabela1[[#This Row],[Toolbox No / Container No]])-1</f>
        <v>92</v>
      </c>
      <c r="B93" s="10" t="s">
        <v>208</v>
      </c>
      <c r="C93" s="10" t="s">
        <v>970</v>
      </c>
      <c r="D93" s="10" t="s">
        <v>971</v>
      </c>
      <c r="E93" s="10" t="s">
        <v>617</v>
      </c>
      <c r="F93" s="10" t="s">
        <v>972</v>
      </c>
      <c r="G93" s="10" t="s">
        <v>743</v>
      </c>
      <c r="H93" s="10"/>
      <c r="I93" s="4" t="s">
        <v>973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974</v>
      </c>
      <c r="N93" s="16" t="s">
        <v>588</v>
      </c>
      <c r="O93" s="16" t="s">
        <v>975</v>
      </c>
      <c r="P93" s="9" t="s">
        <v>10</v>
      </c>
      <c r="Q93" s="16" t="s">
        <v>529</v>
      </c>
      <c r="R93" s="16" t="s">
        <v>390</v>
      </c>
    </row>
    <row r="94" spans="1:18" x14ac:dyDescent="0.25">
      <c r="A94" s="10">
        <f>ROW(Tabela1[[#This Row],[Toolbox No / Container No]])-1</f>
        <v>93</v>
      </c>
      <c r="B94" s="10" t="s">
        <v>53</v>
      </c>
      <c r="C94" s="10" t="s">
        <v>595</v>
      </c>
      <c r="D94" s="10" t="s">
        <v>582</v>
      </c>
      <c r="E94" s="10" t="s">
        <v>976</v>
      </c>
      <c r="F94" s="10" t="s">
        <v>977</v>
      </c>
      <c r="G94" s="10" t="s">
        <v>585</v>
      </c>
      <c r="H94" s="10" t="s">
        <v>54</v>
      </c>
      <c r="I94" s="4" t="s">
        <v>978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979</v>
      </c>
      <c r="N94" s="16" t="s">
        <v>588</v>
      </c>
      <c r="O94" s="16" t="s">
        <v>589</v>
      </c>
      <c r="P94" s="9" t="s">
        <v>10</v>
      </c>
      <c r="Q94" s="16" t="s">
        <v>530</v>
      </c>
      <c r="R94" s="16" t="s">
        <v>391</v>
      </c>
    </row>
    <row r="95" spans="1:18" x14ac:dyDescent="0.25">
      <c r="A95" s="10">
        <f>ROW(Tabela1[[#This Row],[Toolbox No / Container No]])-1</f>
        <v>94</v>
      </c>
      <c r="B95" s="10" t="s">
        <v>100</v>
      </c>
      <c r="C95" s="10" t="s">
        <v>980</v>
      </c>
      <c r="D95" s="10" t="s">
        <v>96</v>
      </c>
      <c r="E95" s="10" t="s">
        <v>981</v>
      </c>
      <c r="F95" s="10" t="s">
        <v>982</v>
      </c>
      <c r="G95" s="10" t="s">
        <v>743</v>
      </c>
      <c r="H95" s="10"/>
      <c r="I95" s="5" t="s">
        <v>983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984</v>
      </c>
      <c r="N95" s="16" t="s">
        <v>588</v>
      </c>
      <c r="O95" s="16" t="s">
        <v>985</v>
      </c>
      <c r="P95" s="9" t="s">
        <v>10</v>
      </c>
      <c r="Q95" s="16" t="s">
        <v>531</v>
      </c>
      <c r="R95" s="16" t="s">
        <v>392</v>
      </c>
    </row>
    <row r="96" spans="1:18" x14ac:dyDescent="0.25">
      <c r="A96" s="10">
        <f>ROW(Tabela1[[#This Row],[Toolbox No / Container No]])-1</f>
        <v>95</v>
      </c>
      <c r="B96" s="10" t="s">
        <v>101</v>
      </c>
      <c r="C96" s="10" t="s">
        <v>986</v>
      </c>
      <c r="D96" s="10" t="s">
        <v>102</v>
      </c>
      <c r="E96" s="10" t="s">
        <v>987</v>
      </c>
      <c r="F96" s="10" t="s">
        <v>988</v>
      </c>
      <c r="G96" s="10" t="s">
        <v>743</v>
      </c>
      <c r="H96" s="10"/>
      <c r="I96" s="5" t="s">
        <v>989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990</v>
      </c>
      <c r="N96" s="16" t="s">
        <v>588</v>
      </c>
      <c r="O96" s="16" t="s">
        <v>746</v>
      </c>
      <c r="P96" s="9" t="s">
        <v>10</v>
      </c>
      <c r="Q96" s="16" t="s">
        <v>531</v>
      </c>
      <c r="R96" s="16" t="s">
        <v>393</v>
      </c>
    </row>
    <row r="97" spans="1:18" x14ac:dyDescent="0.25">
      <c r="A97" s="10">
        <f>ROW(Tabela1[[#This Row],[Toolbox No / Container No]])-1</f>
        <v>96</v>
      </c>
      <c r="B97" s="10" t="s">
        <v>103</v>
      </c>
      <c r="C97" s="10" t="s">
        <v>980</v>
      </c>
      <c r="D97" s="10" t="s">
        <v>104</v>
      </c>
      <c r="E97" s="10" t="s">
        <v>105</v>
      </c>
      <c r="F97" s="10" t="s">
        <v>991</v>
      </c>
      <c r="G97" s="10" t="s">
        <v>743</v>
      </c>
      <c r="H97" s="10" t="s">
        <v>105</v>
      </c>
      <c r="I97" s="5" t="s">
        <v>992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993</v>
      </c>
      <c r="N97" s="16" t="s">
        <v>588</v>
      </c>
      <c r="O97" s="16" t="s">
        <v>985</v>
      </c>
      <c r="P97" s="9" t="s">
        <v>10</v>
      </c>
      <c r="Q97" s="16" t="s">
        <v>532</v>
      </c>
      <c r="R97" s="16" t="s">
        <v>394</v>
      </c>
    </row>
    <row r="98" spans="1:18" x14ac:dyDescent="0.25">
      <c r="A98" s="10">
        <f>ROW(Tabela1[[#This Row],[Toolbox No / Container No]])-1</f>
        <v>97</v>
      </c>
      <c r="B98" s="10" t="s">
        <v>106</v>
      </c>
      <c r="C98" s="10" t="s">
        <v>980</v>
      </c>
      <c r="D98" s="10" t="s">
        <v>107</v>
      </c>
      <c r="E98" s="10" t="s">
        <v>617</v>
      </c>
      <c r="F98" s="10" t="s">
        <v>991</v>
      </c>
      <c r="G98" s="10" t="s">
        <v>743</v>
      </c>
      <c r="H98" s="10"/>
      <c r="I98" s="5" t="s">
        <v>994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995</v>
      </c>
      <c r="N98" s="16" t="s">
        <v>588</v>
      </c>
      <c r="O98" s="16" t="s">
        <v>985</v>
      </c>
      <c r="P98" s="9" t="s">
        <v>10</v>
      </c>
      <c r="Q98" s="16" t="s">
        <v>532</v>
      </c>
      <c r="R98" s="16" t="s">
        <v>395</v>
      </c>
    </row>
    <row r="99" spans="1:18" x14ac:dyDescent="0.25">
      <c r="A99" s="10">
        <f>ROW(Tabela1[[#This Row],[Toolbox No / Container No]])-1</f>
        <v>98</v>
      </c>
      <c r="B99" s="10" t="s">
        <v>108</v>
      </c>
      <c r="C99" s="10" t="s">
        <v>980</v>
      </c>
      <c r="D99" s="10" t="s">
        <v>107</v>
      </c>
      <c r="E99" s="10" t="s">
        <v>617</v>
      </c>
      <c r="F99" s="10" t="s">
        <v>991</v>
      </c>
      <c r="G99" s="10" t="s">
        <v>743</v>
      </c>
      <c r="H99" s="10"/>
      <c r="I99" s="5" t="s">
        <v>996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997</v>
      </c>
      <c r="N99" s="16" t="s">
        <v>588</v>
      </c>
      <c r="O99" s="16" t="s">
        <v>998</v>
      </c>
      <c r="P99" s="9" t="s">
        <v>10</v>
      </c>
      <c r="Q99" s="16" t="s">
        <v>532</v>
      </c>
      <c r="R99" s="16" t="s">
        <v>396</v>
      </c>
    </row>
    <row r="100" spans="1:18" x14ac:dyDescent="0.25">
      <c r="A100" s="10">
        <f>ROW(Tabela1[[#This Row],[Toolbox No / Container No]])-1</f>
        <v>99</v>
      </c>
      <c r="B100" s="10" t="s">
        <v>109</v>
      </c>
      <c r="C100" s="10" t="s">
        <v>980</v>
      </c>
      <c r="D100" s="10" t="s">
        <v>107</v>
      </c>
      <c r="E100" s="10" t="s">
        <v>617</v>
      </c>
      <c r="F100" s="10" t="s">
        <v>991</v>
      </c>
      <c r="G100" s="10" t="s">
        <v>743</v>
      </c>
      <c r="H100" s="10"/>
      <c r="I100" s="5" t="s">
        <v>999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1000</v>
      </c>
      <c r="N100" s="16" t="s">
        <v>588</v>
      </c>
      <c r="O100" s="16" t="s">
        <v>985</v>
      </c>
      <c r="P100" s="9" t="s">
        <v>10</v>
      </c>
      <c r="Q100" s="16" t="s">
        <v>532</v>
      </c>
      <c r="R100" s="16" t="s">
        <v>397</v>
      </c>
    </row>
    <row r="101" spans="1:18" x14ac:dyDescent="0.25">
      <c r="A101" s="10">
        <f>ROW(Tabela1[[#This Row],[Toolbox No / Container No]])-1</f>
        <v>100</v>
      </c>
      <c r="B101" s="10" t="s">
        <v>110</v>
      </c>
      <c r="C101" s="10" t="s">
        <v>980</v>
      </c>
      <c r="D101" s="10" t="s">
        <v>107</v>
      </c>
      <c r="E101" s="10" t="s">
        <v>617</v>
      </c>
      <c r="F101" s="10" t="s">
        <v>991</v>
      </c>
      <c r="G101" s="10" t="s">
        <v>743</v>
      </c>
      <c r="H101" s="10"/>
      <c r="I101" s="5" t="s">
        <v>1001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1002</v>
      </c>
      <c r="N101" s="16" t="s">
        <v>588</v>
      </c>
      <c r="O101" s="16" t="s">
        <v>985</v>
      </c>
      <c r="P101" s="9" t="s">
        <v>10</v>
      </c>
      <c r="Q101" s="16" t="s">
        <v>532</v>
      </c>
      <c r="R101" s="16" t="s">
        <v>398</v>
      </c>
    </row>
    <row r="102" spans="1:18" x14ac:dyDescent="0.25">
      <c r="A102" s="10">
        <f>ROW(Tabela1[[#This Row],[Toolbox No / Container No]])-1</f>
        <v>101</v>
      </c>
      <c r="B102" s="10" t="s">
        <v>111</v>
      </c>
      <c r="C102" s="10" t="s">
        <v>980</v>
      </c>
      <c r="D102" s="10" t="s">
        <v>1003</v>
      </c>
      <c r="E102" s="10">
        <v>163016</v>
      </c>
      <c r="F102" s="10" t="s">
        <v>991</v>
      </c>
      <c r="G102" s="10" t="s">
        <v>743</v>
      </c>
      <c r="H102" s="10"/>
      <c r="I102" s="5" t="s">
        <v>1004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1005</v>
      </c>
      <c r="N102" s="16" t="s">
        <v>588</v>
      </c>
      <c r="O102" s="16" t="s">
        <v>985</v>
      </c>
      <c r="P102" s="9" t="s">
        <v>10</v>
      </c>
      <c r="Q102" s="16" t="s">
        <v>532</v>
      </c>
      <c r="R102" s="16" t="s">
        <v>399</v>
      </c>
    </row>
    <row r="103" spans="1:18" x14ac:dyDescent="0.25">
      <c r="A103" s="10">
        <f>ROW(Tabela1[[#This Row],[Toolbox No / Container No]])-1</f>
        <v>102</v>
      </c>
      <c r="B103" s="10" t="s">
        <v>112</v>
      </c>
      <c r="C103" s="10" t="s">
        <v>980</v>
      </c>
      <c r="D103" s="10" t="s">
        <v>118</v>
      </c>
      <c r="E103" s="10">
        <v>163016</v>
      </c>
      <c r="F103" s="10" t="s">
        <v>991</v>
      </c>
      <c r="G103" s="10" t="s">
        <v>743</v>
      </c>
      <c r="H103" s="10"/>
      <c r="I103" s="5" t="s">
        <v>1006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1007</v>
      </c>
      <c r="N103" s="16" t="s">
        <v>588</v>
      </c>
      <c r="O103" s="16" t="s">
        <v>985</v>
      </c>
      <c r="P103" s="9" t="s">
        <v>10</v>
      </c>
      <c r="Q103" s="16" t="s">
        <v>532</v>
      </c>
      <c r="R103" s="16" t="s">
        <v>400</v>
      </c>
    </row>
    <row r="104" spans="1:18" x14ac:dyDescent="0.25">
      <c r="A104" s="10">
        <f>ROW(Tabela1[[#This Row],[Toolbox No / Container No]])-1</f>
        <v>103</v>
      </c>
      <c r="B104" s="10" t="s">
        <v>113</v>
      </c>
      <c r="C104" s="10" t="s">
        <v>980</v>
      </c>
      <c r="D104" s="10" t="s">
        <v>1003</v>
      </c>
      <c r="E104" s="10" t="s">
        <v>617</v>
      </c>
      <c r="F104" s="10" t="s">
        <v>991</v>
      </c>
      <c r="G104" s="10" t="s">
        <v>743</v>
      </c>
      <c r="H104" s="10"/>
      <c r="I104" s="5" t="s">
        <v>1008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1009</v>
      </c>
      <c r="N104" s="16" t="s">
        <v>588</v>
      </c>
      <c r="O104" s="16" t="s">
        <v>985</v>
      </c>
      <c r="P104" s="9" t="s">
        <v>10</v>
      </c>
      <c r="Q104" s="16" t="s">
        <v>532</v>
      </c>
      <c r="R104" s="16" t="s">
        <v>401</v>
      </c>
    </row>
    <row r="105" spans="1:18" x14ac:dyDescent="0.25">
      <c r="A105" s="10">
        <f>ROW(Tabela1[[#This Row],[Toolbox No / Container No]])-1</f>
        <v>104</v>
      </c>
      <c r="B105" s="10" t="s">
        <v>114</v>
      </c>
      <c r="C105" s="10" t="s">
        <v>980</v>
      </c>
      <c r="D105" s="10" t="s">
        <v>1003</v>
      </c>
      <c r="E105" s="10" t="s">
        <v>617</v>
      </c>
      <c r="F105" s="10" t="s">
        <v>991</v>
      </c>
      <c r="G105" s="10" t="s">
        <v>743</v>
      </c>
      <c r="H105" s="10"/>
      <c r="I105" s="5" t="s">
        <v>1010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1011</v>
      </c>
      <c r="N105" s="16" t="s">
        <v>588</v>
      </c>
      <c r="O105" s="16" t="s">
        <v>985</v>
      </c>
      <c r="P105" s="9" t="s">
        <v>10</v>
      </c>
      <c r="Q105" s="16" t="s">
        <v>532</v>
      </c>
      <c r="R105" s="16" t="s">
        <v>402</v>
      </c>
    </row>
    <row r="106" spans="1:18" x14ac:dyDescent="0.25">
      <c r="A106" s="10">
        <f>ROW(Tabela1[[#This Row],[Toolbox No / Container No]])-1</f>
        <v>105</v>
      </c>
      <c r="B106" s="10" t="s">
        <v>115</v>
      </c>
      <c r="C106" s="10" t="s">
        <v>980</v>
      </c>
      <c r="D106" s="10" t="s">
        <v>107</v>
      </c>
      <c r="E106" s="10" t="s">
        <v>617</v>
      </c>
      <c r="F106" s="10" t="s">
        <v>991</v>
      </c>
      <c r="G106" s="10" t="s">
        <v>743</v>
      </c>
      <c r="H106" s="10"/>
      <c r="I106" s="5" t="s">
        <v>1012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1013</v>
      </c>
      <c r="N106" s="16" t="s">
        <v>588</v>
      </c>
      <c r="O106" s="16" t="s">
        <v>985</v>
      </c>
      <c r="P106" s="9" t="s">
        <v>10</v>
      </c>
      <c r="Q106" s="16" t="s">
        <v>532</v>
      </c>
      <c r="R106" s="16" t="s">
        <v>403</v>
      </c>
    </row>
    <row r="107" spans="1:18" x14ac:dyDescent="0.25">
      <c r="A107" s="10">
        <f>ROW(Tabela1[[#This Row],[Toolbox No / Container No]])-1</f>
        <v>106</v>
      </c>
      <c r="B107" s="10" t="s">
        <v>116</v>
      </c>
      <c r="C107" s="10" t="s">
        <v>980</v>
      </c>
      <c r="D107" s="10" t="s">
        <v>107</v>
      </c>
      <c r="E107" s="10" t="s">
        <v>617</v>
      </c>
      <c r="F107" s="10" t="s">
        <v>991</v>
      </c>
      <c r="G107" s="10" t="s">
        <v>743</v>
      </c>
      <c r="H107" s="10"/>
      <c r="I107" s="5" t="s">
        <v>1014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1015</v>
      </c>
      <c r="N107" s="16" t="s">
        <v>588</v>
      </c>
      <c r="O107" s="16" t="s">
        <v>985</v>
      </c>
      <c r="P107" s="9" t="s">
        <v>10</v>
      </c>
      <c r="Q107" s="16" t="s">
        <v>532</v>
      </c>
      <c r="R107" s="16" t="s">
        <v>404</v>
      </c>
    </row>
    <row r="108" spans="1:18" x14ac:dyDescent="0.25">
      <c r="A108" s="10">
        <f>ROW(Tabela1[[#This Row],[Toolbox No / Container No]])-1</f>
        <v>107</v>
      </c>
      <c r="B108" s="10" t="s">
        <v>117</v>
      </c>
      <c r="C108" s="10" t="s">
        <v>980</v>
      </c>
      <c r="D108" s="10" t="s">
        <v>118</v>
      </c>
      <c r="E108" s="10" t="s">
        <v>617</v>
      </c>
      <c r="F108" s="10" t="s">
        <v>982</v>
      </c>
      <c r="G108" s="10" t="s">
        <v>743</v>
      </c>
      <c r="H108" s="10"/>
      <c r="I108" s="5" t="s">
        <v>1016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1017</v>
      </c>
      <c r="N108" s="16" t="s">
        <v>588</v>
      </c>
      <c r="O108" s="16" t="s">
        <v>985</v>
      </c>
      <c r="P108" s="9" t="s">
        <v>10</v>
      </c>
      <c r="Q108" s="16" t="s">
        <v>532</v>
      </c>
      <c r="R108" s="16" t="s">
        <v>405</v>
      </c>
    </row>
    <row r="109" spans="1:18" x14ac:dyDescent="0.25">
      <c r="A109" s="10">
        <f>ROW(Tabela1[[#This Row],[Toolbox No / Container No]])-1</f>
        <v>108</v>
      </c>
      <c r="B109" s="10" t="s">
        <v>119</v>
      </c>
      <c r="C109" s="10" t="s">
        <v>980</v>
      </c>
      <c r="D109" s="10" t="s">
        <v>96</v>
      </c>
      <c r="E109" s="10" t="s">
        <v>981</v>
      </c>
      <c r="F109" s="10" t="s">
        <v>982</v>
      </c>
      <c r="G109" s="10" t="s">
        <v>743</v>
      </c>
      <c r="H109" s="10"/>
      <c r="I109" s="5" t="s">
        <v>1018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984</v>
      </c>
      <c r="N109" s="16" t="s">
        <v>588</v>
      </c>
      <c r="O109" s="16" t="s">
        <v>985</v>
      </c>
      <c r="P109" s="9" t="s">
        <v>10</v>
      </c>
      <c r="Q109" s="16" t="s">
        <v>532</v>
      </c>
      <c r="R109" s="16" t="s">
        <v>406</v>
      </c>
    </row>
    <row r="110" spans="1:18" x14ac:dyDescent="0.25">
      <c r="A110" s="10">
        <f>ROW(Tabela1[[#This Row],[Toolbox No / Container No]])-1</f>
        <v>109</v>
      </c>
      <c r="B110" s="10" t="s">
        <v>120</v>
      </c>
      <c r="C110" s="10" t="s">
        <v>980</v>
      </c>
      <c r="D110" s="10" t="s">
        <v>96</v>
      </c>
      <c r="E110" s="10" t="s">
        <v>981</v>
      </c>
      <c r="F110" s="10" t="s">
        <v>982</v>
      </c>
      <c r="G110" s="10" t="s">
        <v>743</v>
      </c>
      <c r="H110" s="10"/>
      <c r="I110" s="5" t="s">
        <v>1019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1020</v>
      </c>
      <c r="N110" s="16" t="s">
        <v>588</v>
      </c>
      <c r="O110" s="16" t="s">
        <v>985</v>
      </c>
      <c r="P110" s="9" t="s">
        <v>10</v>
      </c>
      <c r="Q110" s="16" t="s">
        <v>532</v>
      </c>
      <c r="R110" s="16" t="s">
        <v>407</v>
      </c>
    </row>
    <row r="111" spans="1:18" x14ac:dyDescent="0.25">
      <c r="A111" s="10">
        <f>ROW(Tabela1[[#This Row],[Toolbox No / Container No]])-1</f>
        <v>110</v>
      </c>
      <c r="B111" s="10" t="s">
        <v>121</v>
      </c>
      <c r="C111" s="10" t="s">
        <v>980</v>
      </c>
      <c r="D111" s="10" t="s">
        <v>96</v>
      </c>
      <c r="E111" s="10" t="s">
        <v>981</v>
      </c>
      <c r="F111" s="10" t="s">
        <v>982</v>
      </c>
      <c r="G111" s="10" t="s">
        <v>743</v>
      </c>
      <c r="H111" s="10"/>
      <c r="I111" s="5" t="s">
        <v>1021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1020</v>
      </c>
      <c r="N111" s="16" t="s">
        <v>588</v>
      </c>
      <c r="O111" s="16" t="s">
        <v>985</v>
      </c>
      <c r="P111" s="9" t="s">
        <v>10</v>
      </c>
      <c r="Q111" s="16" t="s">
        <v>532</v>
      </c>
      <c r="R111" s="16" t="s">
        <v>408</v>
      </c>
    </row>
    <row r="112" spans="1:18" x14ac:dyDescent="0.25">
      <c r="A112" s="10">
        <f>ROW(Tabela1[[#This Row],[Toolbox No / Container No]])-1</f>
        <v>111</v>
      </c>
      <c r="B112" s="10" t="s">
        <v>122</v>
      </c>
      <c r="C112" s="10" t="s">
        <v>980</v>
      </c>
      <c r="D112" s="10" t="s">
        <v>102</v>
      </c>
      <c r="E112" s="10" t="s">
        <v>987</v>
      </c>
      <c r="F112" s="10" t="s">
        <v>982</v>
      </c>
      <c r="G112" s="10" t="s">
        <v>743</v>
      </c>
      <c r="H112" s="10"/>
      <c r="I112" s="5" t="s">
        <v>1022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1017</v>
      </c>
      <c r="N112" s="16" t="s">
        <v>588</v>
      </c>
      <c r="O112" s="16" t="s">
        <v>985</v>
      </c>
      <c r="P112" s="9" t="s">
        <v>10</v>
      </c>
      <c r="Q112" s="16" t="s">
        <v>532</v>
      </c>
      <c r="R112" s="16" t="s">
        <v>409</v>
      </c>
    </row>
    <row r="113" spans="1:18" x14ac:dyDescent="0.25">
      <c r="A113" s="10">
        <f>ROW(Tabela1[[#This Row],[Toolbox No / Container No]])-1</f>
        <v>112</v>
      </c>
      <c r="B113" s="10" t="s">
        <v>123</v>
      </c>
      <c r="C113" s="10" t="s">
        <v>980</v>
      </c>
      <c r="D113" s="10" t="s">
        <v>118</v>
      </c>
      <c r="E113" s="10">
        <v>163016</v>
      </c>
      <c r="F113" s="10" t="s">
        <v>1023</v>
      </c>
      <c r="G113" s="10" t="s">
        <v>743</v>
      </c>
      <c r="H113" s="10"/>
      <c r="I113" s="5" t="s">
        <v>1024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1025</v>
      </c>
      <c r="N113" s="16" t="s">
        <v>588</v>
      </c>
      <c r="O113" s="16" t="s">
        <v>985</v>
      </c>
      <c r="P113" s="9" t="s">
        <v>10</v>
      </c>
      <c r="Q113" s="16" t="s">
        <v>532</v>
      </c>
      <c r="R113" s="16" t="s">
        <v>410</v>
      </c>
    </row>
    <row r="114" spans="1:18" x14ac:dyDescent="0.25">
      <c r="A114" s="10">
        <f>ROW(Tabela1[[#This Row],[Toolbox No / Container No]])-1</f>
        <v>113</v>
      </c>
      <c r="B114" s="10" t="s">
        <v>124</v>
      </c>
      <c r="C114" s="10" t="s">
        <v>980</v>
      </c>
      <c r="D114" s="10" t="s">
        <v>1003</v>
      </c>
      <c r="E114" s="10" t="s">
        <v>617</v>
      </c>
      <c r="F114" s="10" t="s">
        <v>982</v>
      </c>
      <c r="G114" s="10" t="s">
        <v>743</v>
      </c>
      <c r="H114" s="10"/>
      <c r="I114" s="5" t="s">
        <v>1026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1027</v>
      </c>
      <c r="N114" s="16" t="s">
        <v>588</v>
      </c>
      <c r="O114" s="16" t="s">
        <v>985</v>
      </c>
      <c r="P114" s="9" t="s">
        <v>10</v>
      </c>
      <c r="Q114" s="16" t="s">
        <v>532</v>
      </c>
      <c r="R114" s="16" t="s">
        <v>411</v>
      </c>
    </row>
    <row r="115" spans="1:18" x14ac:dyDescent="0.25">
      <c r="A115" s="10">
        <f>ROW(Tabela1[[#This Row],[Toolbox No / Container No]])-1</f>
        <v>114</v>
      </c>
      <c r="B115" s="10" t="s">
        <v>15</v>
      </c>
      <c r="C115" s="10" t="s">
        <v>1028</v>
      </c>
      <c r="D115" s="10" t="s">
        <v>881</v>
      </c>
      <c r="E115" s="10" t="s">
        <v>617</v>
      </c>
      <c r="F115" s="10" t="s">
        <v>1029</v>
      </c>
      <c r="G115" s="10" t="s">
        <v>1030</v>
      </c>
      <c r="H115" s="10"/>
      <c r="I115" s="4" t="s">
        <v>1031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1032</v>
      </c>
      <c r="N115" s="16" t="s">
        <v>588</v>
      </c>
      <c r="O115" s="16" t="s">
        <v>1033</v>
      </c>
      <c r="P115" s="9" t="s">
        <v>10</v>
      </c>
      <c r="Q115" s="16" t="s">
        <v>533</v>
      </c>
      <c r="R115" s="16" t="s">
        <v>412</v>
      </c>
    </row>
    <row r="116" spans="1:18" x14ac:dyDescent="0.25">
      <c r="A116" s="10">
        <f>ROW(Tabela1[[#This Row],[Toolbox No / Container No]])-1</f>
        <v>115</v>
      </c>
      <c r="B116" s="10" t="s">
        <v>13</v>
      </c>
      <c r="C116" s="10" t="s">
        <v>1028</v>
      </c>
      <c r="D116" s="10" t="s">
        <v>881</v>
      </c>
      <c r="E116" s="10" t="s">
        <v>617</v>
      </c>
      <c r="F116" s="10" t="s">
        <v>1029</v>
      </c>
      <c r="G116" s="10" t="s">
        <v>1034</v>
      </c>
      <c r="H116" s="10"/>
      <c r="I116" s="4" t="s">
        <v>1035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1036</v>
      </c>
      <c r="N116" s="16" t="s">
        <v>588</v>
      </c>
      <c r="O116" s="16" t="s">
        <v>1033</v>
      </c>
      <c r="P116" s="9" t="s">
        <v>10</v>
      </c>
      <c r="Q116" s="16" t="s">
        <v>533</v>
      </c>
      <c r="R116" s="16" t="s">
        <v>413</v>
      </c>
    </row>
    <row r="117" spans="1:18" x14ac:dyDescent="0.25">
      <c r="A117" s="10">
        <f>ROW(Tabela1[[#This Row],[Toolbox No / Container No]])-1</f>
        <v>116</v>
      </c>
      <c r="B117" s="10" t="s">
        <v>137</v>
      </c>
      <c r="C117" s="10" t="s">
        <v>1037</v>
      </c>
      <c r="D117" s="10" t="s">
        <v>1038</v>
      </c>
      <c r="E117" s="10" t="s">
        <v>1039</v>
      </c>
      <c r="F117" s="10" t="s">
        <v>743</v>
      </c>
      <c r="G117" s="10" t="s">
        <v>1040</v>
      </c>
      <c r="H117" s="10" t="s">
        <v>138</v>
      </c>
      <c r="I117" s="5" t="s">
        <v>1041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1042</v>
      </c>
      <c r="N117" s="16" t="s">
        <v>588</v>
      </c>
      <c r="O117" s="16" t="s">
        <v>1043</v>
      </c>
      <c r="P117" s="9" t="s">
        <v>10</v>
      </c>
      <c r="Q117" s="16" t="s">
        <v>534</v>
      </c>
      <c r="R117" s="16" t="s">
        <v>414</v>
      </c>
    </row>
    <row r="118" spans="1:18" x14ac:dyDescent="0.25">
      <c r="A118" s="10">
        <f>ROW(Tabela1[[#This Row],[Toolbox No / Container No]])-1</f>
        <v>117</v>
      </c>
      <c r="B118" s="10" t="s">
        <v>139</v>
      </c>
      <c r="C118" s="10" t="s">
        <v>1037</v>
      </c>
      <c r="D118" s="10" t="s">
        <v>1044</v>
      </c>
      <c r="E118" s="10" t="s">
        <v>1045</v>
      </c>
      <c r="F118" s="10" t="s">
        <v>743</v>
      </c>
      <c r="G118" s="10" t="s">
        <v>1046</v>
      </c>
      <c r="H118" s="10" t="s">
        <v>140</v>
      </c>
      <c r="I118" s="5" t="s">
        <v>1047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1048</v>
      </c>
      <c r="N118" s="16" t="s">
        <v>588</v>
      </c>
      <c r="O118" s="16" t="s">
        <v>1043</v>
      </c>
      <c r="P118" s="9" t="s">
        <v>10</v>
      </c>
      <c r="Q118" s="16" t="s">
        <v>534</v>
      </c>
      <c r="R118" s="16" t="s">
        <v>415</v>
      </c>
    </row>
    <row r="119" spans="1:18" x14ac:dyDescent="0.25">
      <c r="A119" s="10">
        <f>ROW(Tabela1[[#This Row],[Toolbox No / Container No]])-1</f>
        <v>118</v>
      </c>
      <c r="B119" s="10" t="s">
        <v>40</v>
      </c>
      <c r="C119" s="10" t="s">
        <v>1049</v>
      </c>
      <c r="D119" s="10" t="s">
        <v>1050</v>
      </c>
      <c r="E119" s="10" t="s">
        <v>1051</v>
      </c>
      <c r="F119" s="10" t="s">
        <v>695</v>
      </c>
      <c r="G119" s="10" t="s">
        <v>1052</v>
      </c>
      <c r="H119" s="10" t="s">
        <v>41</v>
      </c>
      <c r="I119" s="4" t="s">
        <v>1053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1054</v>
      </c>
      <c r="N119" s="16" t="s">
        <v>588</v>
      </c>
      <c r="O119" s="16" t="s">
        <v>1055</v>
      </c>
      <c r="P119" s="9" t="s">
        <v>10</v>
      </c>
      <c r="Q119" s="16" t="s">
        <v>535</v>
      </c>
      <c r="R119" s="16" t="s">
        <v>416</v>
      </c>
    </row>
    <row r="120" spans="1:18" x14ac:dyDescent="0.25">
      <c r="A120" s="10">
        <f>ROW(Tabela1[[#This Row],[Toolbox No / Container No]])-1</f>
        <v>119</v>
      </c>
      <c r="B120" s="10" t="s">
        <v>34</v>
      </c>
      <c r="C120" s="10" t="s">
        <v>1049</v>
      </c>
      <c r="D120" s="10" t="s">
        <v>1050</v>
      </c>
      <c r="E120" s="10" t="s">
        <v>1051</v>
      </c>
      <c r="F120" s="10" t="s">
        <v>695</v>
      </c>
      <c r="G120" s="10" t="s">
        <v>1052</v>
      </c>
      <c r="H120" s="10" t="s">
        <v>35</v>
      </c>
      <c r="I120" s="4" t="s">
        <v>1056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1054</v>
      </c>
      <c r="N120" s="16" t="s">
        <v>588</v>
      </c>
      <c r="O120" s="16" t="s">
        <v>1055</v>
      </c>
      <c r="P120" s="9" t="s">
        <v>10</v>
      </c>
      <c r="Q120" s="16" t="s">
        <v>535</v>
      </c>
      <c r="R120" s="16" t="s">
        <v>417</v>
      </c>
    </row>
    <row r="121" spans="1:18" x14ac:dyDescent="0.25">
      <c r="A121" s="10">
        <f>ROW(Tabela1[[#This Row],[Toolbox No / Container No]])-1</f>
        <v>120</v>
      </c>
      <c r="B121" s="10" t="s">
        <v>36</v>
      </c>
      <c r="C121" s="10" t="s">
        <v>1049</v>
      </c>
      <c r="D121" s="10" t="s">
        <v>1050</v>
      </c>
      <c r="E121" s="10" t="s">
        <v>1051</v>
      </c>
      <c r="F121" s="10" t="s">
        <v>695</v>
      </c>
      <c r="G121" s="10" t="s">
        <v>1052</v>
      </c>
      <c r="H121" s="10" t="s">
        <v>37</v>
      </c>
      <c r="I121" s="4" t="s">
        <v>1057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1054</v>
      </c>
      <c r="N121" s="16" t="s">
        <v>588</v>
      </c>
      <c r="O121" s="16" t="s">
        <v>1055</v>
      </c>
      <c r="P121" s="9" t="s">
        <v>10</v>
      </c>
      <c r="Q121" s="16" t="s">
        <v>535</v>
      </c>
      <c r="R121" s="16" t="s">
        <v>418</v>
      </c>
    </row>
    <row r="122" spans="1:18" x14ac:dyDescent="0.25">
      <c r="A122" s="10">
        <f>ROW(Tabela1[[#This Row],[Toolbox No / Container No]])-1</f>
        <v>121</v>
      </c>
      <c r="B122" s="10" t="s">
        <v>38</v>
      </c>
      <c r="C122" s="10" t="s">
        <v>1049</v>
      </c>
      <c r="D122" s="10" t="s">
        <v>1050</v>
      </c>
      <c r="E122" s="10" t="s">
        <v>1051</v>
      </c>
      <c r="F122" s="10" t="s">
        <v>1058</v>
      </c>
      <c r="G122" s="10" t="s">
        <v>1052</v>
      </c>
      <c r="H122" s="10" t="s">
        <v>39</v>
      </c>
      <c r="I122" s="4" t="s">
        <v>1059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1054</v>
      </c>
      <c r="N122" s="16" t="s">
        <v>588</v>
      </c>
      <c r="O122" s="16" t="s">
        <v>1055</v>
      </c>
      <c r="P122" s="9" t="s">
        <v>10</v>
      </c>
      <c r="Q122" s="16" t="s">
        <v>535</v>
      </c>
      <c r="R122" s="16" t="s">
        <v>419</v>
      </c>
    </row>
    <row r="123" spans="1:18" x14ac:dyDescent="0.25">
      <c r="A123" s="10">
        <f>ROW(Tabela1[[#This Row],[Toolbox No / Container No]])-1</f>
        <v>122</v>
      </c>
      <c r="B123" s="10" t="s">
        <v>90</v>
      </c>
      <c r="C123" s="10" t="s">
        <v>1049</v>
      </c>
      <c r="D123" s="10" t="s">
        <v>964</v>
      </c>
      <c r="E123" s="10" t="s">
        <v>1060</v>
      </c>
      <c r="F123" s="10" t="s">
        <v>1061</v>
      </c>
      <c r="G123" s="10" t="s">
        <v>1062</v>
      </c>
      <c r="H123" s="10" t="s">
        <v>91</v>
      </c>
      <c r="I123" s="4" t="s">
        <v>1063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1064</v>
      </c>
      <c r="N123" s="16" t="s">
        <v>588</v>
      </c>
      <c r="O123" s="16" t="s">
        <v>1055</v>
      </c>
      <c r="P123" s="9" t="s">
        <v>10</v>
      </c>
      <c r="Q123" s="16" t="s">
        <v>535</v>
      </c>
      <c r="R123" s="16" t="s">
        <v>420</v>
      </c>
    </row>
    <row r="124" spans="1:18" x14ac:dyDescent="0.25">
      <c r="A124" s="10">
        <f>ROW(Tabela1[[#This Row],[Toolbox No / Container No]])-1</f>
        <v>123</v>
      </c>
      <c r="B124" s="15" t="s">
        <v>301</v>
      </c>
      <c r="C124" s="15" t="s">
        <v>581</v>
      </c>
      <c r="D124" s="15" t="s">
        <v>582</v>
      </c>
      <c r="E124" s="15" t="s">
        <v>583</v>
      </c>
      <c r="F124" s="15" t="s">
        <v>584</v>
      </c>
      <c r="G124" s="15" t="s">
        <v>585</v>
      </c>
      <c r="H124" s="15"/>
      <c r="I124" s="6" t="s">
        <v>1065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587</v>
      </c>
      <c r="N124" s="16" t="s">
        <v>588</v>
      </c>
      <c r="O124" s="16" t="s">
        <v>589</v>
      </c>
      <c r="P124" s="9" t="s">
        <v>10</v>
      </c>
      <c r="Q124" s="16" t="s">
        <v>535</v>
      </c>
      <c r="R124" s="16" t="s">
        <v>421</v>
      </c>
    </row>
    <row r="125" spans="1:18" x14ac:dyDescent="0.25">
      <c r="A125" s="10">
        <f>ROW(Tabela1[[#This Row],[Toolbox No / Container No]])-1</f>
        <v>124</v>
      </c>
      <c r="B125" s="10" t="s">
        <v>229</v>
      </c>
      <c r="C125" s="10" t="s">
        <v>1066</v>
      </c>
      <c r="D125" s="10" t="s">
        <v>881</v>
      </c>
      <c r="E125" s="10">
        <v>100042</v>
      </c>
      <c r="F125" s="10" t="s">
        <v>1067</v>
      </c>
      <c r="G125" s="10" t="s">
        <v>1062</v>
      </c>
      <c r="H125" s="10" t="s">
        <v>230</v>
      </c>
      <c r="I125" s="4" t="s">
        <v>1065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1068</v>
      </c>
      <c r="N125" s="16" t="s">
        <v>588</v>
      </c>
      <c r="O125" s="16" t="s">
        <v>1069</v>
      </c>
      <c r="P125" s="9" t="s">
        <v>10</v>
      </c>
      <c r="Q125" s="16" t="s">
        <v>535</v>
      </c>
      <c r="R125" s="16" t="s">
        <v>422</v>
      </c>
    </row>
    <row r="126" spans="1:18" x14ac:dyDescent="0.25">
      <c r="A126" s="10">
        <f>ROW(Tabela1[[#This Row],[Toolbox No / Container No]])-1</f>
        <v>125</v>
      </c>
      <c r="B126" s="15" t="s">
        <v>288</v>
      </c>
      <c r="C126" s="15" t="s">
        <v>1049</v>
      </c>
      <c r="D126" s="15" t="s">
        <v>881</v>
      </c>
      <c r="E126" s="15" t="s">
        <v>617</v>
      </c>
      <c r="F126" s="15" t="s">
        <v>718</v>
      </c>
      <c r="G126" s="15" t="s">
        <v>1062</v>
      </c>
      <c r="H126" s="15"/>
      <c r="I126" s="6" t="s">
        <v>1070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1071</v>
      </c>
      <c r="N126" s="16" t="s">
        <v>588</v>
      </c>
      <c r="O126" s="16" t="s">
        <v>1069</v>
      </c>
      <c r="P126" s="9" t="s">
        <v>10</v>
      </c>
      <c r="Q126" s="16" t="s">
        <v>535</v>
      </c>
      <c r="R126" s="16" t="s">
        <v>423</v>
      </c>
    </row>
    <row r="127" spans="1:18" x14ac:dyDescent="0.25">
      <c r="A127" s="10">
        <f>ROW(Tabela1[[#This Row],[Toolbox No / Container No]])-1</f>
        <v>126</v>
      </c>
      <c r="B127" s="10" t="s">
        <v>201</v>
      </c>
      <c r="C127" s="10" t="s">
        <v>1072</v>
      </c>
      <c r="D127" s="10" t="s">
        <v>881</v>
      </c>
      <c r="E127" s="10" t="s">
        <v>617</v>
      </c>
      <c r="F127" s="10" t="s">
        <v>690</v>
      </c>
      <c r="G127" s="10" t="s">
        <v>876</v>
      </c>
      <c r="H127" s="10"/>
      <c r="I127" s="4" t="s">
        <v>1073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1074</v>
      </c>
      <c r="N127" s="16" t="s">
        <v>588</v>
      </c>
      <c r="O127" s="16" t="s">
        <v>1069</v>
      </c>
      <c r="P127" s="9" t="s">
        <v>10</v>
      </c>
      <c r="Q127" s="16" t="s">
        <v>536</v>
      </c>
      <c r="R127" s="16" t="s">
        <v>424</v>
      </c>
    </row>
    <row r="128" spans="1:18" x14ac:dyDescent="0.25">
      <c r="A128" s="10">
        <f>ROW(Tabela1[[#This Row],[Toolbox No / Container No]])-1</f>
        <v>127</v>
      </c>
      <c r="B128" s="10" t="s">
        <v>202</v>
      </c>
      <c r="C128" s="10" t="s">
        <v>1072</v>
      </c>
      <c r="D128" s="10" t="s">
        <v>617</v>
      </c>
      <c r="E128" s="10" t="s">
        <v>617</v>
      </c>
      <c r="F128" s="10" t="s">
        <v>695</v>
      </c>
      <c r="G128" s="10" t="s">
        <v>876</v>
      </c>
      <c r="H128" s="10"/>
      <c r="I128" s="4" t="s">
        <v>1075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1076</v>
      </c>
      <c r="N128" s="16" t="s">
        <v>588</v>
      </c>
      <c r="O128" s="16" t="s">
        <v>1055</v>
      </c>
      <c r="P128" s="9" t="s">
        <v>10</v>
      </c>
      <c r="Q128" s="16" t="s">
        <v>536</v>
      </c>
      <c r="R128" s="16" t="s">
        <v>425</v>
      </c>
    </row>
    <row r="129" spans="1:18" x14ac:dyDescent="0.25">
      <c r="A129" s="10">
        <f>ROW(Tabela1[[#This Row],[Toolbox No / Container No]])-1</f>
        <v>128</v>
      </c>
      <c r="B129" s="10" t="s">
        <v>231</v>
      </c>
      <c r="C129" s="10" t="s">
        <v>1072</v>
      </c>
      <c r="D129" s="10" t="s">
        <v>1077</v>
      </c>
      <c r="E129" s="10" t="s">
        <v>617</v>
      </c>
      <c r="F129" s="10" t="s">
        <v>690</v>
      </c>
      <c r="G129" s="10" t="s">
        <v>876</v>
      </c>
      <c r="H129" s="10"/>
      <c r="I129" s="4" t="s">
        <v>1078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1079</v>
      </c>
      <c r="N129" s="16" t="s">
        <v>588</v>
      </c>
      <c r="O129" s="16" t="s">
        <v>1069</v>
      </c>
      <c r="P129" s="9" t="s">
        <v>10</v>
      </c>
      <c r="Q129" s="16" t="s">
        <v>536</v>
      </c>
      <c r="R129" s="16" t="s">
        <v>426</v>
      </c>
    </row>
    <row r="130" spans="1:18" x14ac:dyDescent="0.25">
      <c r="A130" s="10">
        <f>ROW(Tabela1[[#This Row],[Toolbox No / Container No]])-1</f>
        <v>129</v>
      </c>
      <c r="B130" s="15" t="s">
        <v>285</v>
      </c>
      <c r="C130" s="15" t="s">
        <v>1072</v>
      </c>
      <c r="D130" s="15" t="s">
        <v>881</v>
      </c>
      <c r="E130" s="15" t="s">
        <v>1080</v>
      </c>
      <c r="F130" s="15" t="s">
        <v>690</v>
      </c>
      <c r="G130" s="15" t="s">
        <v>876</v>
      </c>
      <c r="H130" s="15"/>
      <c r="I130" s="6" t="s">
        <v>1081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1082</v>
      </c>
      <c r="N130" s="16" t="s">
        <v>588</v>
      </c>
      <c r="O130" s="16" t="s">
        <v>1069</v>
      </c>
      <c r="P130" s="9" t="s">
        <v>10</v>
      </c>
      <c r="Q130" s="16" t="s">
        <v>536</v>
      </c>
      <c r="R130" s="16" t="s">
        <v>427</v>
      </c>
    </row>
    <row r="131" spans="1:18" x14ac:dyDescent="0.25">
      <c r="A131" s="10">
        <f>ROW(Tabela1[[#This Row],[Toolbox No / Container No]])-1</f>
        <v>130</v>
      </c>
      <c r="B131" s="15" t="s">
        <v>286</v>
      </c>
      <c r="C131" s="15" t="s">
        <v>1072</v>
      </c>
      <c r="D131" s="15" t="s">
        <v>881</v>
      </c>
      <c r="E131" s="15" t="s">
        <v>617</v>
      </c>
      <c r="F131" s="15" t="s">
        <v>1083</v>
      </c>
      <c r="G131" s="15" t="s">
        <v>876</v>
      </c>
      <c r="H131" s="15"/>
      <c r="I131" s="6" t="s">
        <v>1084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1079</v>
      </c>
      <c r="N131" s="16" t="s">
        <v>588</v>
      </c>
      <c r="O131" s="16" t="s">
        <v>1069</v>
      </c>
      <c r="P131" s="9" t="s">
        <v>10</v>
      </c>
      <c r="Q131" s="16" t="s">
        <v>536</v>
      </c>
      <c r="R131" s="16" t="s">
        <v>428</v>
      </c>
    </row>
    <row r="132" spans="1:18" x14ac:dyDescent="0.25">
      <c r="A132" s="10">
        <f>ROW(Tabela1[[#This Row],[Toolbox No / Container No]])-1</f>
        <v>131</v>
      </c>
      <c r="B132" s="15" t="s">
        <v>287</v>
      </c>
      <c r="C132" s="15" t="s">
        <v>1072</v>
      </c>
      <c r="D132" s="15" t="s">
        <v>698</v>
      </c>
      <c r="E132" s="15" t="s">
        <v>617</v>
      </c>
      <c r="F132" s="15" t="s">
        <v>1083</v>
      </c>
      <c r="G132" s="15" t="s">
        <v>876</v>
      </c>
      <c r="H132" s="15"/>
      <c r="I132" s="6" t="s">
        <v>1085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1086</v>
      </c>
      <c r="N132" s="16" t="s">
        <v>588</v>
      </c>
      <c r="O132" s="16" t="s">
        <v>1069</v>
      </c>
      <c r="P132" s="9" t="s">
        <v>10</v>
      </c>
      <c r="Q132" s="16" t="s">
        <v>536</v>
      </c>
      <c r="R132" s="16" t="s">
        <v>429</v>
      </c>
    </row>
    <row r="133" spans="1:18" x14ac:dyDescent="0.25">
      <c r="A133" s="10">
        <f>ROW(Tabela1[[#This Row],[Toolbox No / Container No]])-1</f>
        <v>132</v>
      </c>
      <c r="B133" s="10" t="s">
        <v>33</v>
      </c>
      <c r="C133" s="10" t="s">
        <v>1087</v>
      </c>
      <c r="D133" s="10" t="s">
        <v>881</v>
      </c>
      <c r="E133" s="10" t="s">
        <v>1088</v>
      </c>
      <c r="F133" s="10" t="s">
        <v>1089</v>
      </c>
      <c r="G133" s="10" t="s">
        <v>1062</v>
      </c>
      <c r="H133" s="10"/>
      <c r="I133" s="4" t="s">
        <v>1090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1054</v>
      </c>
      <c r="N133" s="16" t="s">
        <v>588</v>
      </c>
      <c r="O133" s="16" t="s">
        <v>1055</v>
      </c>
      <c r="P133" s="9" t="s">
        <v>10</v>
      </c>
      <c r="Q133" s="16" t="s">
        <v>537</v>
      </c>
      <c r="R133" s="16" t="s">
        <v>430</v>
      </c>
    </row>
    <row r="134" spans="1:18" x14ac:dyDescent="0.25">
      <c r="A134" s="10">
        <f>ROW(Tabela1[[#This Row],[Toolbox No / Container No]])-1</f>
        <v>133</v>
      </c>
      <c r="B134" s="15" t="s">
        <v>155</v>
      </c>
      <c r="C134" s="15" t="s">
        <v>1091</v>
      </c>
      <c r="D134" s="15" t="s">
        <v>1092</v>
      </c>
      <c r="E134" s="15" t="s">
        <v>1093</v>
      </c>
      <c r="F134" s="15" t="s">
        <v>1094</v>
      </c>
      <c r="G134" s="15" t="s">
        <v>743</v>
      </c>
      <c r="H134" s="15" t="s">
        <v>156</v>
      </c>
      <c r="I134" s="3" t="s">
        <v>1095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1096</v>
      </c>
      <c r="N134" s="16" t="s">
        <v>588</v>
      </c>
      <c r="O134" s="16" t="s">
        <v>1097</v>
      </c>
      <c r="P134" s="9" t="s">
        <v>10</v>
      </c>
      <c r="Q134" s="16" t="s">
        <v>538</v>
      </c>
      <c r="R134" s="16" t="s">
        <v>431</v>
      </c>
    </row>
    <row r="135" spans="1:18" x14ac:dyDescent="0.25">
      <c r="A135" s="10">
        <f>ROW(Tabela1[[#This Row],[Toolbox No / Container No]])-1</f>
        <v>134</v>
      </c>
      <c r="B135" s="15" t="s">
        <v>153</v>
      </c>
      <c r="C135" s="15" t="s">
        <v>1098</v>
      </c>
      <c r="D135" s="15" t="s">
        <v>1099</v>
      </c>
      <c r="E135" s="15" t="s">
        <v>1100</v>
      </c>
      <c r="F135" s="15" t="s">
        <v>1101</v>
      </c>
      <c r="G135" s="15" t="s">
        <v>743</v>
      </c>
      <c r="H135" s="15" t="s">
        <v>154</v>
      </c>
      <c r="I135" s="3" t="s">
        <v>1102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1103</v>
      </c>
      <c r="N135" s="16" t="s">
        <v>588</v>
      </c>
      <c r="O135" s="16" t="s">
        <v>1104</v>
      </c>
      <c r="P135" s="9" t="s">
        <v>10</v>
      </c>
      <c r="Q135" s="16" t="s">
        <v>539</v>
      </c>
      <c r="R135" s="16" t="s">
        <v>432</v>
      </c>
    </row>
    <row r="136" spans="1:18" x14ac:dyDescent="0.25">
      <c r="A136" s="10">
        <f>ROW(Tabela1[[#This Row],[Toolbox No / Container No]])-1</f>
        <v>135</v>
      </c>
      <c r="B136" s="15" t="s">
        <v>291</v>
      </c>
      <c r="C136" s="15" t="s">
        <v>581</v>
      </c>
      <c r="D136" s="15" t="s">
        <v>596</v>
      </c>
      <c r="E136" s="15">
        <v>305</v>
      </c>
      <c r="F136" s="15" t="s">
        <v>584</v>
      </c>
      <c r="G136" s="15" t="s">
        <v>585</v>
      </c>
      <c r="H136" s="15"/>
      <c r="I136" s="6" t="s">
        <v>1105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601</v>
      </c>
      <c r="N136" s="16" t="s">
        <v>588</v>
      </c>
      <c r="O136" s="16" t="s">
        <v>589</v>
      </c>
      <c r="P136" s="9" t="s">
        <v>10</v>
      </c>
      <c r="Q136" s="16" t="s">
        <v>540</v>
      </c>
      <c r="R136" s="16" t="s">
        <v>433</v>
      </c>
    </row>
    <row r="137" spans="1:18" x14ac:dyDescent="0.25">
      <c r="A137" s="10">
        <f>ROW(Tabela1[[#This Row],[Toolbox No / Container No]])-1</f>
        <v>136</v>
      </c>
      <c r="B137" s="10" t="s">
        <v>57</v>
      </c>
      <c r="C137" s="10" t="s">
        <v>1106</v>
      </c>
      <c r="D137" s="10" t="s">
        <v>964</v>
      </c>
      <c r="E137" s="10">
        <v>200478</v>
      </c>
      <c r="F137" s="10" t="s">
        <v>1107</v>
      </c>
      <c r="G137" s="10" t="s">
        <v>882</v>
      </c>
      <c r="H137" s="10" t="s">
        <v>58</v>
      </c>
      <c r="I137" s="4" t="s">
        <v>1108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1109</v>
      </c>
      <c r="N137" s="16" t="s">
        <v>588</v>
      </c>
      <c r="O137" s="16" t="s">
        <v>1110</v>
      </c>
      <c r="P137" s="9" t="s">
        <v>10</v>
      </c>
      <c r="Q137" s="16" t="s">
        <v>541</v>
      </c>
      <c r="R137" s="16" t="s">
        <v>434</v>
      </c>
    </row>
    <row r="138" spans="1:18" x14ac:dyDescent="0.25">
      <c r="A138" s="10">
        <f>ROW(Tabela1[[#This Row],[Toolbox No / Container No]])-1</f>
        <v>137</v>
      </c>
      <c r="B138" s="10" t="s">
        <v>59</v>
      </c>
      <c r="C138" s="10" t="s">
        <v>1106</v>
      </c>
      <c r="D138" s="10" t="s">
        <v>99</v>
      </c>
      <c r="E138" s="10">
        <v>204188</v>
      </c>
      <c r="F138" s="10" t="s">
        <v>1107</v>
      </c>
      <c r="G138" s="10" t="s">
        <v>882</v>
      </c>
      <c r="H138" s="10" t="s">
        <v>60</v>
      </c>
      <c r="I138" s="4" t="s">
        <v>1111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1112</v>
      </c>
      <c r="N138" s="16" t="s">
        <v>593</v>
      </c>
      <c r="O138" s="16" t="s">
        <v>1110</v>
      </c>
      <c r="P138" s="9" t="s">
        <v>10</v>
      </c>
      <c r="Q138" s="16" t="s">
        <v>541</v>
      </c>
      <c r="R138" s="16" t="s">
        <v>435</v>
      </c>
    </row>
    <row r="139" spans="1:18" x14ac:dyDescent="0.25">
      <c r="A139" s="10">
        <f>ROW(Tabela1[[#This Row],[Toolbox No / Container No]])-1</f>
        <v>138</v>
      </c>
      <c r="B139" s="10" t="s">
        <v>61</v>
      </c>
      <c r="C139" s="10" t="s">
        <v>1106</v>
      </c>
      <c r="D139" s="10" t="s">
        <v>99</v>
      </c>
      <c r="E139" s="10" t="s">
        <v>617</v>
      </c>
      <c r="F139" s="10" t="s">
        <v>1107</v>
      </c>
      <c r="G139" s="10" t="s">
        <v>882</v>
      </c>
      <c r="H139" s="10" t="s">
        <v>62</v>
      </c>
      <c r="I139" s="4" t="s">
        <v>1113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1114</v>
      </c>
      <c r="N139" s="16" t="s">
        <v>588</v>
      </c>
      <c r="O139" s="16" t="s">
        <v>1110</v>
      </c>
      <c r="P139" s="9" t="s">
        <v>10</v>
      </c>
      <c r="Q139" s="16" t="s">
        <v>541</v>
      </c>
      <c r="R139" s="16" t="s">
        <v>436</v>
      </c>
    </row>
    <row r="140" spans="1:18" x14ac:dyDescent="0.25">
      <c r="A140" s="10">
        <f>ROW(Tabela1[[#This Row],[Toolbox No / Container No]])-1</f>
        <v>139</v>
      </c>
      <c r="B140" s="10" t="s">
        <v>63</v>
      </c>
      <c r="C140" s="10" t="s">
        <v>1106</v>
      </c>
      <c r="D140" s="10" t="s">
        <v>99</v>
      </c>
      <c r="E140" s="10">
        <v>20458</v>
      </c>
      <c r="F140" s="10" t="s">
        <v>1107</v>
      </c>
      <c r="G140" s="10" t="s">
        <v>882</v>
      </c>
      <c r="H140" s="10" t="s">
        <v>64</v>
      </c>
      <c r="I140" s="4" t="s">
        <v>1115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1116</v>
      </c>
      <c r="N140" s="16" t="s">
        <v>588</v>
      </c>
      <c r="O140" s="16" t="s">
        <v>1110</v>
      </c>
      <c r="P140" s="9" t="s">
        <v>10</v>
      </c>
      <c r="Q140" s="16" t="s">
        <v>541</v>
      </c>
      <c r="R140" s="16" t="s">
        <v>437</v>
      </c>
    </row>
    <row r="141" spans="1:18" x14ac:dyDescent="0.25">
      <c r="A141" s="10">
        <f>ROW(Tabela1[[#This Row],[Toolbox No / Container No]])-1</f>
        <v>140</v>
      </c>
      <c r="B141" s="10" t="s">
        <v>65</v>
      </c>
      <c r="C141" s="10" t="s">
        <v>1106</v>
      </c>
      <c r="D141" s="10" t="s">
        <v>99</v>
      </c>
      <c r="E141" s="10">
        <v>24112</v>
      </c>
      <c r="F141" s="10" t="s">
        <v>1107</v>
      </c>
      <c r="G141" s="10" t="s">
        <v>882</v>
      </c>
      <c r="H141" s="10" t="s">
        <v>66</v>
      </c>
      <c r="I141" s="3" t="s">
        <v>1117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1118</v>
      </c>
      <c r="N141" s="16" t="s">
        <v>593</v>
      </c>
      <c r="O141" s="16" t="s">
        <v>1110</v>
      </c>
      <c r="P141" s="9" t="s">
        <v>10</v>
      </c>
      <c r="Q141" s="16" t="s">
        <v>541</v>
      </c>
      <c r="R141" s="16" t="s">
        <v>438</v>
      </c>
    </row>
    <row r="142" spans="1:18" x14ac:dyDescent="0.25">
      <c r="A142" s="10">
        <f>ROW(Tabela1[[#This Row],[Toolbox No / Container No]])-1</f>
        <v>141</v>
      </c>
      <c r="B142" s="10" t="s">
        <v>67</v>
      </c>
      <c r="C142" s="10" t="s">
        <v>1106</v>
      </c>
      <c r="D142" s="10" t="s">
        <v>99</v>
      </c>
      <c r="E142" s="10">
        <v>200432</v>
      </c>
      <c r="F142" s="10" t="s">
        <v>1107</v>
      </c>
      <c r="G142" s="10" t="s">
        <v>882</v>
      </c>
      <c r="H142" s="10" t="s">
        <v>68</v>
      </c>
      <c r="I142" s="4" t="s">
        <v>1119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1120</v>
      </c>
      <c r="N142" s="16" t="s">
        <v>588</v>
      </c>
      <c r="O142" s="16" t="s">
        <v>1110</v>
      </c>
      <c r="P142" s="9" t="s">
        <v>10</v>
      </c>
      <c r="Q142" s="16" t="s">
        <v>541</v>
      </c>
      <c r="R142" s="16" t="s">
        <v>439</v>
      </c>
    </row>
    <row r="143" spans="1:18" x14ac:dyDescent="0.25">
      <c r="A143" s="10">
        <f>ROW(Tabela1[[#This Row],[Toolbox No / Container No]])-1</f>
        <v>142</v>
      </c>
      <c r="B143" s="10" t="s">
        <v>69</v>
      </c>
      <c r="C143" s="10" t="s">
        <v>1106</v>
      </c>
      <c r="D143" s="10" t="s">
        <v>99</v>
      </c>
      <c r="E143" s="10" t="s">
        <v>617</v>
      </c>
      <c r="F143" s="10" t="s">
        <v>1107</v>
      </c>
      <c r="G143" s="10" t="s">
        <v>882</v>
      </c>
      <c r="H143" s="10" t="s">
        <v>70</v>
      </c>
      <c r="I143" s="4" t="s">
        <v>1121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1114</v>
      </c>
      <c r="N143" s="16" t="s">
        <v>588</v>
      </c>
      <c r="O143" s="16" t="s">
        <v>1110</v>
      </c>
      <c r="P143" s="9" t="s">
        <v>10</v>
      </c>
      <c r="Q143" s="16" t="s">
        <v>541</v>
      </c>
      <c r="R143" s="16" t="s">
        <v>440</v>
      </c>
    </row>
    <row r="144" spans="1:18" x14ac:dyDescent="0.25">
      <c r="A144" s="10">
        <f>ROW(Tabela1[[#This Row],[Toolbox No / Container No]])-1</f>
        <v>143</v>
      </c>
      <c r="B144" s="10" t="s">
        <v>71</v>
      </c>
      <c r="C144" s="10" t="s">
        <v>1106</v>
      </c>
      <c r="D144" s="10" t="s">
        <v>881</v>
      </c>
      <c r="E144" s="10" t="s">
        <v>617</v>
      </c>
      <c r="F144" s="10" t="s">
        <v>1107</v>
      </c>
      <c r="G144" s="10" t="s">
        <v>882</v>
      </c>
      <c r="H144" s="10" t="s">
        <v>72</v>
      </c>
      <c r="I144" s="4" t="s">
        <v>1122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1123</v>
      </c>
      <c r="N144" s="16" t="s">
        <v>588</v>
      </c>
      <c r="O144" s="16" t="s">
        <v>1110</v>
      </c>
      <c r="P144" s="9" t="s">
        <v>10</v>
      </c>
      <c r="Q144" s="16" t="s">
        <v>541</v>
      </c>
      <c r="R144" s="16" t="s">
        <v>441</v>
      </c>
    </row>
    <row r="145" spans="1:18" x14ac:dyDescent="0.25">
      <c r="A145" s="10">
        <f>ROW(Tabela1[[#This Row],[Toolbox No / Container No]])-1</f>
        <v>144</v>
      </c>
      <c r="B145" s="10" t="s">
        <v>87</v>
      </c>
      <c r="C145" s="10" t="s">
        <v>1106</v>
      </c>
      <c r="D145" s="10" t="s">
        <v>881</v>
      </c>
      <c r="E145" s="10" t="s">
        <v>617</v>
      </c>
      <c r="F145" s="10" t="s">
        <v>1124</v>
      </c>
      <c r="G145" s="10" t="s">
        <v>876</v>
      </c>
      <c r="H145" s="10" t="s">
        <v>88</v>
      </c>
      <c r="I145" s="4" t="s">
        <v>1125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1126</v>
      </c>
      <c r="N145" s="16" t="s">
        <v>588</v>
      </c>
      <c r="O145" s="16" t="s">
        <v>1110</v>
      </c>
      <c r="P145" s="9" t="s">
        <v>10</v>
      </c>
      <c r="Q145" s="16" t="s">
        <v>541</v>
      </c>
      <c r="R145" s="16" t="s">
        <v>442</v>
      </c>
    </row>
    <row r="146" spans="1:18" x14ac:dyDescent="0.25">
      <c r="A146" s="10">
        <f>ROW(Tabela1[[#This Row],[Toolbox No / Container No]])-1</f>
        <v>145</v>
      </c>
      <c r="B146" s="15" t="s">
        <v>289</v>
      </c>
      <c r="C146" s="15" t="s">
        <v>1106</v>
      </c>
      <c r="D146" s="15" t="s">
        <v>881</v>
      </c>
      <c r="E146" s="15" t="s">
        <v>617</v>
      </c>
      <c r="F146" s="15" t="s">
        <v>1124</v>
      </c>
      <c r="G146" s="15" t="s">
        <v>876</v>
      </c>
      <c r="H146" s="15" t="s">
        <v>290</v>
      </c>
      <c r="I146" s="6" t="s">
        <v>1127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1128</v>
      </c>
      <c r="N146" s="16" t="s">
        <v>588</v>
      </c>
      <c r="O146" s="16" t="s">
        <v>1129</v>
      </c>
      <c r="P146" s="9" t="s">
        <v>10</v>
      </c>
      <c r="Q146" s="16" t="s">
        <v>541</v>
      </c>
      <c r="R146" s="16" t="s">
        <v>443</v>
      </c>
    </row>
    <row r="147" spans="1:18" x14ac:dyDescent="0.25">
      <c r="A147" s="10">
        <f>ROW(Tabela1[[#This Row],[Toolbox No / Container No]])-1</f>
        <v>146</v>
      </c>
      <c r="B147" s="15" t="s">
        <v>296</v>
      </c>
      <c r="C147" s="15" t="s">
        <v>581</v>
      </c>
      <c r="D147" s="15" t="s">
        <v>596</v>
      </c>
      <c r="E147" s="15">
        <v>305</v>
      </c>
      <c r="F147" s="15" t="s">
        <v>584</v>
      </c>
      <c r="G147" s="15" t="s">
        <v>585</v>
      </c>
      <c r="H147" s="15" t="s">
        <v>297</v>
      </c>
      <c r="I147" s="6" t="s">
        <v>1105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601</v>
      </c>
      <c r="N147" s="16" t="s">
        <v>588</v>
      </c>
      <c r="O147" s="16" t="s">
        <v>589</v>
      </c>
      <c r="P147" s="9" t="s">
        <v>10</v>
      </c>
      <c r="Q147" s="16" t="s">
        <v>541</v>
      </c>
      <c r="R147" s="16" t="s">
        <v>444</v>
      </c>
    </row>
    <row r="148" spans="1:18" x14ac:dyDescent="0.25">
      <c r="A148" s="10">
        <f>ROW(Tabela1[[#This Row],[Toolbox No / Container No]])-1</f>
        <v>147</v>
      </c>
      <c r="B148" s="15" t="s">
        <v>299</v>
      </c>
      <c r="C148" s="15" t="s">
        <v>1106</v>
      </c>
      <c r="D148" s="15" t="s">
        <v>881</v>
      </c>
      <c r="E148" s="15" t="s">
        <v>617</v>
      </c>
      <c r="F148" s="15" t="s">
        <v>1124</v>
      </c>
      <c r="G148" s="15" t="s">
        <v>876</v>
      </c>
      <c r="H148" s="15" t="s">
        <v>300</v>
      </c>
      <c r="I148" s="6" t="s">
        <v>1130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1131</v>
      </c>
      <c r="N148" s="16" t="s">
        <v>588</v>
      </c>
      <c r="O148" s="16" t="s">
        <v>1110</v>
      </c>
      <c r="P148" s="9" t="s">
        <v>10</v>
      </c>
      <c r="Q148" s="16" t="s">
        <v>541</v>
      </c>
      <c r="R148" s="16" t="s">
        <v>445</v>
      </c>
    </row>
    <row r="149" spans="1:18" x14ac:dyDescent="0.25">
      <c r="A149" s="10">
        <f>ROW(Tabela1[[#This Row],[Toolbox No / Container No]])-1</f>
        <v>148</v>
      </c>
      <c r="B149" s="15" t="s">
        <v>307</v>
      </c>
      <c r="C149" s="15" t="s">
        <v>1106</v>
      </c>
      <c r="D149" s="15" t="s">
        <v>881</v>
      </c>
      <c r="E149" s="15" t="s">
        <v>617</v>
      </c>
      <c r="F149" s="15" t="s">
        <v>1132</v>
      </c>
      <c r="G149" s="15" t="s">
        <v>876</v>
      </c>
      <c r="H149" s="15" t="s">
        <v>308</v>
      </c>
      <c r="I149" s="6" t="s">
        <v>1133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1134</v>
      </c>
      <c r="N149" s="16" t="s">
        <v>588</v>
      </c>
      <c r="O149" s="16" t="s">
        <v>1129</v>
      </c>
      <c r="P149" s="9" t="s">
        <v>10</v>
      </c>
      <c r="Q149" s="16" t="s">
        <v>541</v>
      </c>
      <c r="R149" s="16" t="s">
        <v>446</v>
      </c>
    </row>
    <row r="150" spans="1:18" x14ac:dyDescent="0.25">
      <c r="A150" s="10">
        <f>ROW(Tabela1[[#This Row],[Toolbox No / Container No]])-1</f>
        <v>149</v>
      </c>
      <c r="B150" s="15" t="s">
        <v>500</v>
      </c>
      <c r="C150" s="15" t="s">
        <v>1106</v>
      </c>
      <c r="D150" s="15" t="s">
        <v>881</v>
      </c>
      <c r="E150" s="15" t="s">
        <v>617</v>
      </c>
      <c r="F150" s="15" t="s">
        <v>1135</v>
      </c>
      <c r="G150" s="15" t="s">
        <v>876</v>
      </c>
      <c r="H150" s="15" t="s">
        <v>14</v>
      </c>
      <c r="I150" s="6" t="s">
        <v>1136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1137</v>
      </c>
      <c r="N150" s="16" t="s">
        <v>588</v>
      </c>
      <c r="O150" s="16" t="s">
        <v>1110</v>
      </c>
      <c r="P150" s="9" t="s">
        <v>10</v>
      </c>
      <c r="Q150" s="16" t="s">
        <v>541</v>
      </c>
      <c r="R150" s="16" t="s">
        <v>501</v>
      </c>
    </row>
    <row r="151" spans="1:18" x14ac:dyDescent="0.25">
      <c r="A151" s="10">
        <f>ROW(Tabela1[[#This Row],[Toolbox No / Container No]])-1</f>
        <v>150</v>
      </c>
      <c r="B151" s="15" t="s">
        <v>265</v>
      </c>
      <c r="C151" s="15" t="s">
        <v>1138</v>
      </c>
      <c r="D151" s="15" t="s">
        <v>1139</v>
      </c>
      <c r="E151" s="15" t="s">
        <v>1140</v>
      </c>
      <c r="F151" s="15" t="s">
        <v>1141</v>
      </c>
      <c r="G151" s="15" t="s">
        <v>1142</v>
      </c>
      <c r="H151" s="15" t="s">
        <v>266</v>
      </c>
      <c r="I151" s="5" t="s">
        <v>1143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1144</v>
      </c>
      <c r="N151" s="16" t="s">
        <v>588</v>
      </c>
      <c r="O151" s="16" t="s">
        <v>1145</v>
      </c>
      <c r="P151" s="9" t="s">
        <v>10</v>
      </c>
      <c r="Q151" s="16" t="s">
        <v>542</v>
      </c>
      <c r="R151" s="16" t="s">
        <v>447</v>
      </c>
    </row>
    <row r="152" spans="1:18" x14ac:dyDescent="0.25">
      <c r="A152" s="10">
        <f>ROW(Tabela1[[#This Row],[Toolbox No / Container No]])-1</f>
        <v>151</v>
      </c>
      <c r="B152" s="15" t="s">
        <v>267</v>
      </c>
      <c r="C152" s="15" t="s">
        <v>1138</v>
      </c>
      <c r="D152" s="15" t="s">
        <v>268</v>
      </c>
      <c r="E152" s="15" t="s">
        <v>1146</v>
      </c>
      <c r="F152" s="15" t="s">
        <v>1147</v>
      </c>
      <c r="G152" s="15" t="s">
        <v>1142</v>
      </c>
      <c r="H152" s="15"/>
      <c r="I152" s="5" t="s">
        <v>1148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1149</v>
      </c>
      <c r="N152" s="16" t="s">
        <v>588</v>
      </c>
      <c r="O152" s="16" t="s">
        <v>1145</v>
      </c>
      <c r="P152" s="9" t="s">
        <v>10</v>
      </c>
      <c r="Q152" s="16" t="s">
        <v>543</v>
      </c>
      <c r="R152" s="16" t="s">
        <v>448</v>
      </c>
    </row>
    <row r="153" spans="1:18" x14ac:dyDescent="0.25">
      <c r="A153" s="10">
        <f>ROW(Tabela1[[#This Row],[Toolbox No / Container No]])-1</f>
        <v>152</v>
      </c>
      <c r="B153" s="10" t="s">
        <v>181</v>
      </c>
      <c r="C153" s="10" t="s">
        <v>1150</v>
      </c>
      <c r="D153" s="10" t="s">
        <v>1151</v>
      </c>
      <c r="E153" s="10" t="s">
        <v>1152</v>
      </c>
      <c r="F153" s="10" t="s">
        <v>1153</v>
      </c>
      <c r="G153" s="10" t="s">
        <v>743</v>
      </c>
      <c r="H153" s="10" t="s">
        <v>182</v>
      </c>
      <c r="I153" s="4" t="s">
        <v>1154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1155</v>
      </c>
      <c r="N153" s="16" t="s">
        <v>588</v>
      </c>
      <c r="O153" s="16" t="s">
        <v>1110</v>
      </c>
      <c r="P153" s="9" t="s">
        <v>10</v>
      </c>
      <c r="Q153" s="16" t="s">
        <v>544</v>
      </c>
      <c r="R153" s="16" t="s">
        <v>449</v>
      </c>
    </row>
    <row r="154" spans="1:18" x14ac:dyDescent="0.25">
      <c r="A154" s="10">
        <f>ROW(Tabela1[[#This Row],[Toolbox No / Container No]])-1</f>
        <v>153</v>
      </c>
      <c r="B154" s="15" t="s">
        <v>269</v>
      </c>
      <c r="C154" s="15" t="s">
        <v>1150</v>
      </c>
      <c r="D154" s="15" t="s">
        <v>1156</v>
      </c>
      <c r="E154" s="15" t="s">
        <v>617</v>
      </c>
      <c r="F154" s="15" t="s">
        <v>1153</v>
      </c>
      <c r="G154" s="15" t="s">
        <v>743</v>
      </c>
      <c r="H154" s="15" t="s">
        <v>270</v>
      </c>
      <c r="I154" s="5" t="s">
        <v>1157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1158</v>
      </c>
      <c r="N154" s="16" t="s">
        <v>588</v>
      </c>
      <c r="O154" s="16" t="s">
        <v>1110</v>
      </c>
      <c r="P154" s="9" t="s">
        <v>10</v>
      </c>
      <c r="Q154" s="16" t="s">
        <v>544</v>
      </c>
      <c r="R154" s="16" t="s">
        <v>450</v>
      </c>
    </row>
    <row r="155" spans="1:18" x14ac:dyDescent="0.25">
      <c r="A155" s="10">
        <f>ROW(Tabela1[[#This Row],[Toolbox No / Container No]])-1</f>
        <v>154</v>
      </c>
      <c r="B155" s="10" t="s">
        <v>20</v>
      </c>
      <c r="C155" s="10" t="s">
        <v>1159</v>
      </c>
      <c r="D155" s="10" t="s">
        <v>1160</v>
      </c>
      <c r="E155" s="10" t="s">
        <v>1161</v>
      </c>
      <c r="F155" s="10" t="s">
        <v>1162</v>
      </c>
      <c r="G155" s="10" t="s">
        <v>743</v>
      </c>
      <c r="H155" s="10"/>
      <c r="I155" s="4" t="s">
        <v>1163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1164</v>
      </c>
      <c r="N155" s="16" t="s">
        <v>588</v>
      </c>
      <c r="O155" s="16" t="s">
        <v>1165</v>
      </c>
      <c r="P155" s="9" t="s">
        <v>10</v>
      </c>
      <c r="Q155" s="16" t="s">
        <v>545</v>
      </c>
      <c r="R155" s="16" t="s">
        <v>451</v>
      </c>
    </row>
    <row r="156" spans="1:18" x14ac:dyDescent="0.25">
      <c r="A156" s="10">
        <f>ROW(Tabela1[[#This Row],[Toolbox No / Container No]])-1</f>
        <v>155</v>
      </c>
      <c r="B156" s="10" t="s">
        <v>21</v>
      </c>
      <c r="C156" s="10" t="s">
        <v>1159</v>
      </c>
      <c r="D156" s="10" t="s">
        <v>1160</v>
      </c>
      <c r="E156" s="10" t="s">
        <v>1161</v>
      </c>
      <c r="F156" s="10" t="s">
        <v>1162</v>
      </c>
      <c r="G156" s="10" t="s">
        <v>743</v>
      </c>
      <c r="H156" s="10"/>
      <c r="I156" s="4" t="s">
        <v>1166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1167</v>
      </c>
      <c r="N156" s="16" t="s">
        <v>588</v>
      </c>
      <c r="O156" s="16" t="s">
        <v>1165</v>
      </c>
      <c r="P156" s="9" t="s">
        <v>10</v>
      </c>
      <c r="Q156" s="16" t="s">
        <v>545</v>
      </c>
      <c r="R156" s="16" t="s">
        <v>452</v>
      </c>
    </row>
    <row r="157" spans="1:18" x14ac:dyDescent="0.25">
      <c r="A157" s="10">
        <f>ROW(Tabela1[[#This Row],[Toolbox No / Container No]])-1</f>
        <v>156</v>
      </c>
      <c r="B157" s="15" t="s">
        <v>149</v>
      </c>
      <c r="C157" s="15" t="s">
        <v>1168</v>
      </c>
      <c r="D157" s="15" t="s">
        <v>1169</v>
      </c>
      <c r="E157" s="15" t="s">
        <v>150</v>
      </c>
      <c r="F157" s="15" t="s">
        <v>1170</v>
      </c>
      <c r="G157" s="15" t="s">
        <v>1171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1172</v>
      </c>
      <c r="N157" s="16" t="s">
        <v>588</v>
      </c>
      <c r="O157" s="16" t="s">
        <v>1173</v>
      </c>
      <c r="P157" s="9" t="s">
        <v>10</v>
      </c>
      <c r="Q157" s="16" t="s">
        <v>545</v>
      </c>
      <c r="R157" s="16" t="s">
        <v>453</v>
      </c>
    </row>
    <row r="158" spans="1:18" x14ac:dyDescent="0.25">
      <c r="A158" s="10">
        <f>ROW(Tabela1[[#This Row],[Toolbox No / Container No]])-1</f>
        <v>157</v>
      </c>
      <c r="B158" s="15" t="s">
        <v>151</v>
      </c>
      <c r="C158" s="15" t="s">
        <v>1168</v>
      </c>
      <c r="D158" s="15" t="s">
        <v>1169</v>
      </c>
      <c r="E158" s="15" t="s">
        <v>152</v>
      </c>
      <c r="F158" s="15" t="s">
        <v>1174</v>
      </c>
      <c r="G158" s="15" t="s">
        <v>1175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1176</v>
      </c>
      <c r="N158" s="16" t="s">
        <v>588</v>
      </c>
      <c r="O158" s="16" t="s">
        <v>1173</v>
      </c>
      <c r="P158" s="9" t="s">
        <v>10</v>
      </c>
      <c r="Q158" s="16" t="s">
        <v>545</v>
      </c>
      <c r="R158" s="16" t="s">
        <v>454</v>
      </c>
    </row>
    <row r="159" spans="1:18" x14ac:dyDescent="0.25">
      <c r="A159" s="10">
        <f>ROW(Tabela1[[#This Row],[Toolbox No / Container No]])-1</f>
        <v>158</v>
      </c>
      <c r="B159" s="10" t="s">
        <v>209</v>
      </c>
      <c r="C159" s="10" t="s">
        <v>1159</v>
      </c>
      <c r="D159" s="10" t="s">
        <v>582</v>
      </c>
      <c r="E159" s="10" t="s">
        <v>617</v>
      </c>
      <c r="F159" s="10" t="s">
        <v>1162</v>
      </c>
      <c r="G159" s="10" t="s">
        <v>743</v>
      </c>
      <c r="H159" s="10"/>
      <c r="I159" s="4" t="s">
        <v>1177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1178</v>
      </c>
      <c r="N159" s="16" t="s">
        <v>588</v>
      </c>
      <c r="O159" s="16" t="s">
        <v>1165</v>
      </c>
      <c r="P159" s="9" t="s">
        <v>10</v>
      </c>
      <c r="Q159" s="16" t="s">
        <v>546</v>
      </c>
      <c r="R159" s="16" t="s">
        <v>455</v>
      </c>
    </row>
    <row r="160" spans="1:18" x14ac:dyDescent="0.25">
      <c r="A160" s="10">
        <f>ROW(Tabela1[[#This Row],[Toolbox No / Container No]])-1</f>
        <v>159</v>
      </c>
      <c r="B160" s="15" t="s">
        <v>271</v>
      </c>
      <c r="C160" s="15" t="s">
        <v>1159</v>
      </c>
      <c r="D160" s="15" t="s">
        <v>1156</v>
      </c>
      <c r="E160" s="15" t="s">
        <v>617</v>
      </c>
      <c r="F160" s="15" t="s">
        <v>1162</v>
      </c>
      <c r="G160" s="15" t="s">
        <v>743</v>
      </c>
      <c r="H160" s="15"/>
      <c r="I160" s="5" t="s">
        <v>1179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1180</v>
      </c>
      <c r="N160" s="16" t="s">
        <v>588</v>
      </c>
      <c r="O160" s="16" t="s">
        <v>1181</v>
      </c>
      <c r="P160" s="9" t="s">
        <v>10</v>
      </c>
      <c r="Q160" s="16" t="s">
        <v>547</v>
      </c>
      <c r="R160" s="16" t="s">
        <v>456</v>
      </c>
    </row>
    <row r="161" spans="1:18" x14ac:dyDescent="0.25">
      <c r="A161" s="10">
        <f>ROW(Tabela1[[#This Row],[Toolbox No / Container No]])-1</f>
        <v>160</v>
      </c>
      <c r="B161" s="10" t="s">
        <v>55</v>
      </c>
      <c r="C161" s="10" t="s">
        <v>1159</v>
      </c>
      <c r="D161" s="10" t="s">
        <v>1156</v>
      </c>
      <c r="E161" s="10" t="s">
        <v>617</v>
      </c>
      <c r="F161" s="10" t="s">
        <v>1162</v>
      </c>
      <c r="G161" s="10" t="s">
        <v>743</v>
      </c>
      <c r="H161" s="10"/>
      <c r="I161" s="4" t="s">
        <v>1179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1180</v>
      </c>
      <c r="N161" s="16" t="s">
        <v>588</v>
      </c>
      <c r="O161" s="16" t="s">
        <v>1181</v>
      </c>
      <c r="P161" s="9" t="s">
        <v>10</v>
      </c>
      <c r="Q161" s="16" t="s">
        <v>548</v>
      </c>
      <c r="R161" s="16" t="s">
        <v>457</v>
      </c>
    </row>
    <row r="162" spans="1:18" x14ac:dyDescent="0.25">
      <c r="A162" s="10">
        <f>ROW(Tabela1[[#This Row],[Toolbox No / Container No]])-1</f>
        <v>161</v>
      </c>
      <c r="B162" s="10" t="s">
        <v>206</v>
      </c>
      <c r="C162" s="10" t="s">
        <v>1159</v>
      </c>
      <c r="D162" s="10" t="s">
        <v>56</v>
      </c>
      <c r="E162" s="10" t="s">
        <v>617</v>
      </c>
      <c r="F162" s="10" t="s">
        <v>1162</v>
      </c>
      <c r="G162" s="10" t="s">
        <v>743</v>
      </c>
      <c r="H162" s="10" t="s">
        <v>207</v>
      </c>
      <c r="I162" s="4" t="s">
        <v>1182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1183</v>
      </c>
      <c r="N162" s="16" t="s">
        <v>588</v>
      </c>
      <c r="O162" s="16" t="s">
        <v>1165</v>
      </c>
      <c r="P162" s="9" t="s">
        <v>10</v>
      </c>
      <c r="Q162" s="16" t="s">
        <v>548</v>
      </c>
      <c r="R162" s="16" t="s">
        <v>458</v>
      </c>
    </row>
    <row r="163" spans="1:18" x14ac:dyDescent="0.25">
      <c r="A163" s="10">
        <f>ROW(Tabela1[[#This Row],[Toolbox No / Container No]])-1</f>
        <v>162</v>
      </c>
      <c r="B163" s="10" t="s">
        <v>24</v>
      </c>
      <c r="C163" s="10" t="s">
        <v>1159</v>
      </c>
      <c r="D163" s="10" t="s">
        <v>582</v>
      </c>
      <c r="E163" s="10" t="s">
        <v>1184</v>
      </c>
      <c r="F163" s="10" t="s">
        <v>1185</v>
      </c>
      <c r="G163" s="10" t="s">
        <v>743</v>
      </c>
      <c r="H163" s="10" t="s">
        <v>25</v>
      </c>
      <c r="I163" s="4" t="s">
        <v>1186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1187</v>
      </c>
      <c r="N163" s="16" t="s">
        <v>588</v>
      </c>
      <c r="O163" s="16" t="s">
        <v>1165</v>
      </c>
      <c r="P163" s="9" t="s">
        <v>10</v>
      </c>
      <c r="Q163" s="16" t="s">
        <v>546</v>
      </c>
      <c r="R163" s="16" t="s">
        <v>459</v>
      </c>
    </row>
    <row r="164" spans="1:18" x14ac:dyDescent="0.25">
      <c r="A164" s="10">
        <f>ROW(Tabela1[[#This Row],[Toolbox No / Container No]])-1</f>
        <v>163</v>
      </c>
      <c r="B164" s="10" t="s">
        <v>26</v>
      </c>
      <c r="C164" s="10" t="s">
        <v>1159</v>
      </c>
      <c r="D164" s="10" t="s">
        <v>582</v>
      </c>
      <c r="E164" s="10" t="s">
        <v>1184</v>
      </c>
      <c r="F164" s="10" t="s">
        <v>1185</v>
      </c>
      <c r="G164" s="10" t="s">
        <v>743</v>
      </c>
      <c r="H164" s="10" t="s">
        <v>27</v>
      </c>
      <c r="I164" s="4" t="s">
        <v>1188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1187</v>
      </c>
      <c r="N164" s="16" t="s">
        <v>588</v>
      </c>
      <c r="O164" s="16" t="s">
        <v>1165</v>
      </c>
      <c r="P164" s="9" t="s">
        <v>10</v>
      </c>
      <c r="Q164" s="16" t="s">
        <v>546</v>
      </c>
      <c r="R164" s="16" t="s">
        <v>460</v>
      </c>
    </row>
    <row r="165" spans="1:18" x14ac:dyDescent="0.25">
      <c r="A165" s="10">
        <f>ROW(Tabela1[[#This Row],[Toolbox No / Container No]])-1</f>
        <v>164</v>
      </c>
      <c r="B165" s="15" t="s">
        <v>264</v>
      </c>
      <c r="C165" s="15" t="s">
        <v>1189</v>
      </c>
      <c r="D165" s="15" t="s">
        <v>1190</v>
      </c>
      <c r="E165" s="15" t="s">
        <v>617</v>
      </c>
      <c r="F165" s="15" t="s">
        <v>1191</v>
      </c>
      <c r="G165" s="15" t="s">
        <v>743</v>
      </c>
      <c r="H165" s="15"/>
      <c r="I165" s="3" t="s">
        <v>1192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1193</v>
      </c>
      <c r="N165" s="16" t="s">
        <v>588</v>
      </c>
      <c r="O165" s="16" t="s">
        <v>1194</v>
      </c>
      <c r="P165" s="9" t="s">
        <v>10</v>
      </c>
      <c r="Q165" s="16" t="s">
        <v>549</v>
      </c>
      <c r="R165" s="16" t="s">
        <v>461</v>
      </c>
    </row>
    <row r="166" spans="1:18" x14ac:dyDescent="0.25">
      <c r="A166" s="10">
        <f>ROW(Tabela1[[#This Row],[Toolbox No / Container No]])-1</f>
        <v>165</v>
      </c>
      <c r="B166" s="10" t="s">
        <v>28</v>
      </c>
      <c r="C166" s="10" t="s">
        <v>1098</v>
      </c>
      <c r="D166" s="10" t="s">
        <v>582</v>
      </c>
      <c r="E166" s="10" t="s">
        <v>29</v>
      </c>
      <c r="F166" s="10" t="s">
        <v>1195</v>
      </c>
      <c r="G166" s="10" t="s">
        <v>743</v>
      </c>
      <c r="H166" s="10" t="s">
        <v>30</v>
      </c>
      <c r="I166" s="4" t="s">
        <v>1196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1197</v>
      </c>
      <c r="N166" s="16" t="s">
        <v>588</v>
      </c>
      <c r="O166" s="16" t="s">
        <v>1198</v>
      </c>
      <c r="P166" s="9" t="s">
        <v>10</v>
      </c>
      <c r="Q166" s="16" t="s">
        <v>550</v>
      </c>
      <c r="R166" s="16" t="s">
        <v>462</v>
      </c>
    </row>
    <row r="167" spans="1:18" x14ac:dyDescent="0.25">
      <c r="A167" s="10">
        <f>ROW(Tabela1[[#This Row],[Toolbox No / Container No]])-1</f>
        <v>166</v>
      </c>
      <c r="B167" s="10" t="s">
        <v>31</v>
      </c>
      <c r="C167" s="10" t="s">
        <v>1098</v>
      </c>
      <c r="D167" s="10" t="s">
        <v>582</v>
      </c>
      <c r="E167" s="10" t="s">
        <v>29</v>
      </c>
      <c r="F167" s="10" t="s">
        <v>1195</v>
      </c>
      <c r="G167" s="10" t="s">
        <v>743</v>
      </c>
      <c r="H167" s="10" t="s">
        <v>32</v>
      </c>
      <c r="I167" s="4" t="s">
        <v>1199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1200</v>
      </c>
      <c r="N167" s="16" t="s">
        <v>588</v>
      </c>
      <c r="O167" s="16" t="s">
        <v>1198</v>
      </c>
      <c r="P167" s="9" t="s">
        <v>10</v>
      </c>
      <c r="Q167" s="16" t="s">
        <v>550</v>
      </c>
      <c r="R167" s="16" t="s">
        <v>463</v>
      </c>
    </row>
    <row r="168" spans="1:18" x14ac:dyDescent="0.25">
      <c r="A168" s="10">
        <f>ROW(Tabela1[[#This Row],[Toolbox No / Container No]])-1</f>
        <v>167</v>
      </c>
      <c r="B168" s="10" t="s">
        <v>213</v>
      </c>
      <c r="C168" s="10" t="s">
        <v>1201</v>
      </c>
      <c r="D168" s="10" t="s">
        <v>582</v>
      </c>
      <c r="E168" s="10" t="s">
        <v>1202</v>
      </c>
      <c r="F168" s="10" t="s">
        <v>642</v>
      </c>
      <c r="G168" s="10" t="s">
        <v>585</v>
      </c>
      <c r="H168" s="10" t="s">
        <v>214</v>
      </c>
      <c r="I168" s="4" t="s">
        <v>1203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1204</v>
      </c>
      <c r="N168" s="16" t="s">
        <v>588</v>
      </c>
      <c r="O168" s="16" t="s">
        <v>1205</v>
      </c>
      <c r="P168" s="9" t="s">
        <v>10</v>
      </c>
      <c r="Q168" s="16" t="s">
        <v>551</v>
      </c>
      <c r="R168" s="16" t="s">
        <v>464</v>
      </c>
    </row>
    <row r="169" spans="1:18" x14ac:dyDescent="0.25">
      <c r="A169" s="10">
        <f>ROW(Tabela1[[#This Row],[Toolbox No / Container No]])-1</f>
        <v>168</v>
      </c>
      <c r="B169" s="10" t="s">
        <v>215</v>
      </c>
      <c r="C169" s="10" t="s">
        <v>1201</v>
      </c>
      <c r="D169" s="10" t="s">
        <v>1206</v>
      </c>
      <c r="E169" s="10" t="s">
        <v>1207</v>
      </c>
      <c r="F169" s="10" t="s">
        <v>1208</v>
      </c>
      <c r="G169" s="10" t="s">
        <v>585</v>
      </c>
      <c r="H169" s="10" t="s">
        <v>216</v>
      </c>
      <c r="I169" s="4" t="s">
        <v>1209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1210</v>
      </c>
      <c r="N169" s="16" t="s">
        <v>588</v>
      </c>
      <c r="O169" s="16" t="s">
        <v>1211</v>
      </c>
      <c r="P169" s="9" t="s">
        <v>10</v>
      </c>
      <c r="Q169" s="16" t="s">
        <v>552</v>
      </c>
      <c r="R169" s="16" t="s">
        <v>465</v>
      </c>
    </row>
    <row r="170" spans="1:18" x14ac:dyDescent="0.25">
      <c r="A170" s="10">
        <f>ROW(Tabela1[[#This Row],[Toolbox No / Container No]])-1</f>
        <v>169</v>
      </c>
      <c r="B170" s="10" t="s">
        <v>22</v>
      </c>
      <c r="C170" s="10" t="s">
        <v>1212</v>
      </c>
      <c r="D170" s="10" t="s">
        <v>1213</v>
      </c>
      <c r="E170" s="10" t="s">
        <v>617</v>
      </c>
      <c r="F170" s="10" t="s">
        <v>1214</v>
      </c>
      <c r="G170" s="10" t="s">
        <v>1215</v>
      </c>
      <c r="H170" s="10" t="s">
        <v>23</v>
      </c>
      <c r="I170" s="4" t="s">
        <v>1216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1217</v>
      </c>
      <c r="N170" s="16" t="s">
        <v>588</v>
      </c>
      <c r="O170" s="16" t="s">
        <v>1218</v>
      </c>
      <c r="P170" s="9" t="s">
        <v>10</v>
      </c>
      <c r="Q170" s="16" t="s">
        <v>553</v>
      </c>
      <c r="R170" s="16" t="s">
        <v>466</v>
      </c>
    </row>
    <row r="171" spans="1:18" x14ac:dyDescent="0.25">
      <c r="A171" s="10">
        <f>ROW(Tabela1[[#This Row],[Toolbox No / Container No]])-1</f>
        <v>170</v>
      </c>
      <c r="B171" s="10" t="s">
        <v>92</v>
      </c>
      <c r="C171" s="10" t="s">
        <v>1212</v>
      </c>
      <c r="D171" s="10" t="s">
        <v>1213</v>
      </c>
      <c r="E171" s="10" t="s">
        <v>617</v>
      </c>
      <c r="F171" s="10" t="s">
        <v>1214</v>
      </c>
      <c r="G171" s="10" t="s">
        <v>1215</v>
      </c>
      <c r="H171" s="10" t="s">
        <v>94</v>
      </c>
      <c r="I171" s="4" t="s">
        <v>1219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1220</v>
      </c>
      <c r="N171" s="16" t="s">
        <v>588</v>
      </c>
      <c r="O171" s="16" t="s">
        <v>1218</v>
      </c>
      <c r="P171" s="9" t="s">
        <v>10</v>
      </c>
      <c r="Q171" s="16" t="s">
        <v>553</v>
      </c>
      <c r="R171" s="16" t="s">
        <v>467</v>
      </c>
    </row>
    <row r="172" spans="1:18" x14ac:dyDescent="0.25">
      <c r="A172" s="10">
        <f>ROW(Tabela1[[#This Row],[Toolbox No / Container No]])-1</f>
        <v>171</v>
      </c>
      <c r="B172" s="15" t="s">
        <v>292</v>
      </c>
      <c r="C172" s="15" t="s">
        <v>1221</v>
      </c>
      <c r="D172" s="15" t="s">
        <v>93</v>
      </c>
      <c r="E172" s="15" t="s">
        <v>1222</v>
      </c>
      <c r="F172" s="15" t="s">
        <v>1223</v>
      </c>
      <c r="G172" s="15" t="s">
        <v>743</v>
      </c>
      <c r="H172" s="15" t="s">
        <v>293</v>
      </c>
      <c r="I172" s="6" t="s">
        <v>1224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1225</v>
      </c>
      <c r="N172" s="16" t="s">
        <v>588</v>
      </c>
      <c r="O172" s="16" t="s">
        <v>1226</v>
      </c>
      <c r="P172" s="9" t="s">
        <v>10</v>
      </c>
      <c r="Q172" s="16" t="s">
        <v>553</v>
      </c>
      <c r="R172" s="16" t="s">
        <v>468</v>
      </c>
    </row>
    <row r="173" spans="1:18" x14ac:dyDescent="0.25">
      <c r="A173" s="10">
        <f>ROW(Tabela1[[#This Row],[Toolbox No / Container No]])-1</f>
        <v>172</v>
      </c>
      <c r="B173" s="15" t="s">
        <v>303</v>
      </c>
      <c r="C173" s="15" t="s">
        <v>1221</v>
      </c>
      <c r="D173" s="15" t="s">
        <v>304</v>
      </c>
      <c r="E173" s="15" t="s">
        <v>617</v>
      </c>
      <c r="F173" s="15" t="s">
        <v>1227</v>
      </c>
      <c r="G173" s="15" t="s">
        <v>743</v>
      </c>
      <c r="H173" s="15">
        <v>20140115</v>
      </c>
      <c r="I173" s="6" t="s">
        <v>1228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1229</v>
      </c>
      <c r="N173" s="16" t="s">
        <v>588</v>
      </c>
      <c r="O173" s="16" t="s">
        <v>1230</v>
      </c>
      <c r="P173" s="9" t="s">
        <v>10</v>
      </c>
      <c r="Q173" s="16" t="s">
        <v>554</v>
      </c>
      <c r="R173" s="16" t="s">
        <v>469</v>
      </c>
    </row>
    <row r="174" spans="1:18" x14ac:dyDescent="0.25">
      <c r="A174" s="10">
        <f>ROW(Tabela1[[#This Row],[Toolbox No / Container No]])-1</f>
        <v>173</v>
      </c>
      <c r="B174" s="15" t="s">
        <v>305</v>
      </c>
      <c r="C174" s="15" t="s">
        <v>1221</v>
      </c>
      <c r="D174" s="15" t="s">
        <v>304</v>
      </c>
      <c r="E174" s="15" t="s">
        <v>617</v>
      </c>
      <c r="F174" s="15" t="s">
        <v>1223</v>
      </c>
      <c r="G174" s="15" t="s">
        <v>743</v>
      </c>
      <c r="H174" s="15" t="s">
        <v>306</v>
      </c>
      <c r="I174" s="6" t="s">
        <v>1231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1232</v>
      </c>
      <c r="N174" s="16" t="s">
        <v>588</v>
      </c>
      <c r="O174" s="16" t="s">
        <v>1226</v>
      </c>
      <c r="P174" s="9" t="s">
        <v>10</v>
      </c>
      <c r="Q174" s="16" t="s">
        <v>554</v>
      </c>
      <c r="R174" s="16" t="s">
        <v>470</v>
      </c>
    </row>
    <row r="175" spans="1:18" x14ac:dyDescent="0.25">
      <c r="A175" s="10">
        <f>ROW(Tabela1[[#This Row],[Toolbox No / Container No]])-1</f>
        <v>174</v>
      </c>
      <c r="B175" s="15" t="s">
        <v>22</v>
      </c>
      <c r="C175" s="15" t="s">
        <v>1212</v>
      </c>
      <c r="D175" s="15" t="s">
        <v>1213</v>
      </c>
      <c r="E175" s="15" t="s">
        <v>617</v>
      </c>
      <c r="F175" s="15" t="s">
        <v>1214</v>
      </c>
      <c r="G175" s="15" t="s">
        <v>1215</v>
      </c>
      <c r="H175" s="15" t="s">
        <v>23</v>
      </c>
      <c r="I175" s="6" t="s">
        <v>1216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1217</v>
      </c>
      <c r="N175" s="16" t="s">
        <v>588</v>
      </c>
      <c r="O175" s="16" t="s">
        <v>1218</v>
      </c>
      <c r="P175" s="9" t="s">
        <v>10</v>
      </c>
      <c r="Q175" s="16" t="s">
        <v>553</v>
      </c>
      <c r="R175" s="16" t="s">
        <v>466</v>
      </c>
    </row>
    <row r="176" spans="1:18" x14ac:dyDescent="0.25">
      <c r="A176" s="10">
        <f>ROW(Tabela1[[#This Row],[Toolbox No / Container No]])-1</f>
        <v>175</v>
      </c>
      <c r="B176" s="15" t="s">
        <v>272</v>
      </c>
      <c r="C176" s="15" t="s">
        <v>1212</v>
      </c>
      <c r="D176" s="15" t="s">
        <v>617</v>
      </c>
      <c r="E176" s="15" t="s">
        <v>617</v>
      </c>
      <c r="F176" s="15" t="s">
        <v>1233</v>
      </c>
      <c r="G176" s="15" t="s">
        <v>1234</v>
      </c>
      <c r="H176" s="15" t="s">
        <v>273</v>
      </c>
      <c r="I176" s="3" t="s">
        <v>1235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1236</v>
      </c>
      <c r="N176" s="16" t="s">
        <v>588</v>
      </c>
      <c r="O176" s="16" t="s">
        <v>1237</v>
      </c>
      <c r="P176" s="9" t="s">
        <v>10</v>
      </c>
      <c r="Q176" s="16" t="s">
        <v>555</v>
      </c>
      <c r="R176" s="16" t="s">
        <v>471</v>
      </c>
    </row>
    <row r="177" spans="1:18" x14ac:dyDescent="0.25">
      <c r="A177" s="10">
        <f>ROW(Tabela1[[#This Row],[Toolbox No / Container No]])-1</f>
        <v>176</v>
      </c>
      <c r="B177" s="15" t="s">
        <v>302</v>
      </c>
      <c r="C177" s="15" t="s">
        <v>1212</v>
      </c>
      <c r="D177" s="15" t="s">
        <v>1238</v>
      </c>
      <c r="E177" s="15" t="s">
        <v>617</v>
      </c>
      <c r="F177" s="15" t="s">
        <v>1239</v>
      </c>
      <c r="G177" s="15" t="s">
        <v>1240</v>
      </c>
      <c r="H177" s="15"/>
      <c r="I177" s="6" t="s">
        <v>1241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1242</v>
      </c>
      <c r="N177" s="16" t="s">
        <v>588</v>
      </c>
      <c r="O177" s="16" t="s">
        <v>1237</v>
      </c>
      <c r="P177" s="9" t="s">
        <v>10</v>
      </c>
      <c r="Q177" s="16" t="s">
        <v>556</v>
      </c>
      <c r="R177" s="16" t="s">
        <v>472</v>
      </c>
    </row>
    <row r="178" spans="1:18" x14ac:dyDescent="0.25">
      <c r="A178" s="10">
        <f>ROW(Tabela1[[#This Row],[Toolbox No / Container No]])-1</f>
        <v>177</v>
      </c>
      <c r="B178" s="15" t="s">
        <v>294</v>
      </c>
      <c r="C178" s="15" t="s">
        <v>605</v>
      </c>
      <c r="D178" s="15" t="s">
        <v>616</v>
      </c>
      <c r="E178" s="15" t="s">
        <v>617</v>
      </c>
      <c r="F178" s="15" t="s">
        <v>618</v>
      </c>
      <c r="G178" s="15" t="s">
        <v>619</v>
      </c>
      <c r="H178" s="15" t="s">
        <v>295</v>
      </c>
      <c r="I178" s="6" t="s">
        <v>1243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1244</v>
      </c>
      <c r="N178" s="16" t="s">
        <v>622</v>
      </c>
      <c r="O178" s="16" t="s">
        <v>612</v>
      </c>
      <c r="P178" s="9" t="s">
        <v>10</v>
      </c>
      <c r="Q178" s="16" t="s">
        <v>557</v>
      </c>
      <c r="R178" s="16" t="s">
        <v>473</v>
      </c>
    </row>
    <row r="179" spans="1:18" x14ac:dyDescent="0.25">
      <c r="A179" s="10">
        <f>ROW(Tabela1[[#This Row],[Toolbox No / Container No]])-1</f>
        <v>178</v>
      </c>
      <c r="B179" s="10" t="s">
        <v>203</v>
      </c>
      <c r="C179" s="10" t="s">
        <v>1212</v>
      </c>
      <c r="D179" s="10" t="s">
        <v>1245</v>
      </c>
      <c r="E179" s="10">
        <v>6212</v>
      </c>
      <c r="F179" s="10" t="s">
        <v>1246</v>
      </c>
      <c r="G179" s="10" t="s">
        <v>1247</v>
      </c>
      <c r="H179" s="10"/>
      <c r="I179" s="4" t="s">
        <v>1248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1249</v>
      </c>
      <c r="N179" s="16" t="s">
        <v>588</v>
      </c>
      <c r="O179" s="16" t="s">
        <v>1250</v>
      </c>
      <c r="P179" s="9" t="s">
        <v>10</v>
      </c>
      <c r="Q179" s="16" t="s">
        <v>558</v>
      </c>
      <c r="R179" s="16" t="s">
        <v>474</v>
      </c>
    </row>
    <row r="180" spans="1:18" x14ac:dyDescent="0.25">
      <c r="A180" s="10">
        <f>ROW(Tabela1[[#This Row],[Toolbox No / Container No]])-1</f>
        <v>179</v>
      </c>
      <c r="B180" s="15" t="s">
        <v>298</v>
      </c>
      <c r="C180" s="15" t="s">
        <v>1212</v>
      </c>
      <c r="D180" s="15" t="s">
        <v>1251</v>
      </c>
      <c r="E180" s="15" t="s">
        <v>1252</v>
      </c>
      <c r="F180" s="15" t="s">
        <v>1253</v>
      </c>
      <c r="G180" s="15" t="s">
        <v>1247</v>
      </c>
      <c r="H180" s="15"/>
      <c r="I180" s="6" t="s">
        <v>1254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1255</v>
      </c>
      <c r="N180" s="16" t="s">
        <v>588</v>
      </c>
      <c r="O180" s="16" t="s">
        <v>1237</v>
      </c>
      <c r="P180" s="9" t="s">
        <v>10</v>
      </c>
      <c r="Q180" s="16" t="s">
        <v>559</v>
      </c>
      <c r="R180" s="16" t="s">
        <v>475</v>
      </c>
    </row>
    <row r="181" spans="1:18" x14ac:dyDescent="0.25">
      <c r="A181" s="10">
        <f>ROW(Tabela1[[#This Row],[Toolbox No / Container No]])-1</f>
        <v>180</v>
      </c>
      <c r="B181" s="10" t="s">
        <v>73</v>
      </c>
      <c r="C181" s="10" t="s">
        <v>1212</v>
      </c>
      <c r="D181" s="10" t="s">
        <v>1213</v>
      </c>
      <c r="E181" s="10" t="s">
        <v>1256</v>
      </c>
      <c r="F181" s="10" t="s">
        <v>1257</v>
      </c>
      <c r="G181" s="10" t="s">
        <v>1215</v>
      </c>
      <c r="H181" s="10" t="s">
        <v>74</v>
      </c>
      <c r="I181" s="4" t="s">
        <v>1258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1259</v>
      </c>
      <c r="N181" s="16" t="s">
        <v>588</v>
      </c>
      <c r="O181" s="16" t="s">
        <v>1237</v>
      </c>
      <c r="P181" s="9" t="s">
        <v>10</v>
      </c>
      <c r="Q181" s="16" t="s">
        <v>560</v>
      </c>
      <c r="R181" s="16" t="s">
        <v>476</v>
      </c>
    </row>
    <row r="182" spans="1:18" x14ac:dyDescent="0.25">
      <c r="A182" s="10">
        <f>ROW(Tabela1[[#This Row],[Toolbox No / Container No]])-1</f>
        <v>181</v>
      </c>
      <c r="B182" s="10" t="s">
        <v>82</v>
      </c>
      <c r="C182" s="10" t="s">
        <v>1212</v>
      </c>
      <c r="D182" s="10" t="s">
        <v>1260</v>
      </c>
      <c r="E182" s="10" t="s">
        <v>1261</v>
      </c>
      <c r="F182" s="10" t="s">
        <v>1262</v>
      </c>
      <c r="G182" s="10" t="s">
        <v>1215</v>
      </c>
      <c r="H182" s="10" t="s">
        <v>83</v>
      </c>
      <c r="I182" s="4" t="s">
        <v>1263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1264</v>
      </c>
      <c r="N182" s="16" t="s">
        <v>588</v>
      </c>
      <c r="O182" s="16" t="s">
        <v>1218</v>
      </c>
      <c r="P182" s="9" t="s">
        <v>10</v>
      </c>
      <c r="Q182" s="16" t="s">
        <v>560</v>
      </c>
      <c r="R182" s="16" t="s">
        <v>477</v>
      </c>
    </row>
    <row r="183" spans="1:18" x14ac:dyDescent="0.25">
      <c r="A183" s="10">
        <f>ROW(Tabela1[[#This Row],[Toolbox No / Container No]])-1</f>
        <v>182</v>
      </c>
      <c r="B183" s="10" t="s">
        <v>77</v>
      </c>
      <c r="C183" s="10" t="s">
        <v>1212</v>
      </c>
      <c r="D183" s="10" t="s">
        <v>1265</v>
      </c>
      <c r="E183" s="10" t="s">
        <v>1266</v>
      </c>
      <c r="F183" s="10" t="s">
        <v>1267</v>
      </c>
      <c r="G183" s="10" t="s">
        <v>1247</v>
      </c>
      <c r="H183" s="10" t="s">
        <v>78</v>
      </c>
      <c r="I183" s="4" t="s">
        <v>1268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1269</v>
      </c>
      <c r="N183" s="16" t="s">
        <v>588</v>
      </c>
      <c r="O183" s="16" t="s">
        <v>1237</v>
      </c>
      <c r="P183" s="9" t="s">
        <v>10</v>
      </c>
      <c r="Q183" s="16" t="s">
        <v>561</v>
      </c>
      <c r="R183" s="16" t="s">
        <v>478</v>
      </c>
    </row>
    <row r="184" spans="1:18" x14ac:dyDescent="0.25">
      <c r="A184" s="10">
        <f>ROW(Tabela1[[#This Row],[Toolbox No / Container No]])-1</f>
        <v>183</v>
      </c>
      <c r="B184" s="15" t="s">
        <v>232</v>
      </c>
      <c r="C184" s="15" t="s">
        <v>1212</v>
      </c>
      <c r="D184" s="15" t="s">
        <v>1270</v>
      </c>
      <c r="E184" s="15" t="s">
        <v>617</v>
      </c>
      <c r="F184" s="15" t="s">
        <v>1271</v>
      </c>
      <c r="G184" s="15" t="s">
        <v>1240</v>
      </c>
      <c r="H184" s="15"/>
      <c r="I184" s="5" t="s">
        <v>1272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1273</v>
      </c>
      <c r="N184" s="16" t="s">
        <v>588</v>
      </c>
      <c r="O184" s="16" t="s">
        <v>1237</v>
      </c>
      <c r="P184" s="9" t="s">
        <v>10</v>
      </c>
      <c r="Q184" s="16" t="s">
        <v>562</v>
      </c>
      <c r="R184" s="16" t="s">
        <v>479</v>
      </c>
    </row>
    <row r="185" spans="1:18" x14ac:dyDescent="0.25">
      <c r="A185" s="10">
        <f>ROW(Tabela1[[#This Row],[Toolbox No / Container No]])-1</f>
        <v>184</v>
      </c>
      <c r="B185" s="10" t="s">
        <v>45</v>
      </c>
      <c r="C185" s="10" t="s">
        <v>1274</v>
      </c>
      <c r="D185" s="10" t="s">
        <v>1275</v>
      </c>
      <c r="E185" s="10" t="s">
        <v>617</v>
      </c>
      <c r="F185" s="10" t="s">
        <v>1276</v>
      </c>
      <c r="G185" s="10" t="s">
        <v>1277</v>
      </c>
      <c r="H185" s="10"/>
      <c r="I185" s="4" t="s">
        <v>1278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1279</v>
      </c>
      <c r="N185" s="16" t="s">
        <v>588</v>
      </c>
      <c r="O185" s="16" t="s">
        <v>1280</v>
      </c>
      <c r="P185" s="9" t="s">
        <v>10</v>
      </c>
      <c r="Q185" s="16" t="s">
        <v>563</v>
      </c>
      <c r="R185" s="16" t="s">
        <v>480</v>
      </c>
    </row>
    <row r="186" spans="1:18" x14ac:dyDescent="0.25">
      <c r="A186" s="10">
        <f>ROW(Tabela1[[#This Row],[Toolbox No / Container No]])-1</f>
        <v>185</v>
      </c>
      <c r="B186" s="10" t="s">
        <v>176</v>
      </c>
      <c r="C186" s="10" t="s">
        <v>1274</v>
      </c>
      <c r="D186" s="10" t="s">
        <v>99</v>
      </c>
      <c r="E186" s="10" t="s">
        <v>617</v>
      </c>
      <c r="F186" s="10" t="s">
        <v>1281</v>
      </c>
      <c r="G186" s="10" t="s">
        <v>1277</v>
      </c>
      <c r="H186" s="10"/>
      <c r="I186" s="4" t="s">
        <v>1282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1283</v>
      </c>
      <c r="N186" s="16" t="s">
        <v>588</v>
      </c>
      <c r="O186" s="16" t="s">
        <v>1280</v>
      </c>
      <c r="P186" s="9" t="s">
        <v>10</v>
      </c>
      <c r="Q186" s="16" t="s">
        <v>563</v>
      </c>
      <c r="R186" s="16" t="s">
        <v>481</v>
      </c>
    </row>
    <row r="187" spans="1:18" x14ac:dyDescent="0.25">
      <c r="A187" s="10">
        <f>ROW(Tabela1[[#This Row],[Toolbox No / Container No]])-1</f>
        <v>186</v>
      </c>
      <c r="B187" s="10" t="s">
        <v>177</v>
      </c>
      <c r="C187" s="10" t="s">
        <v>1274</v>
      </c>
      <c r="D187" s="10" t="s">
        <v>99</v>
      </c>
      <c r="E187" s="10" t="s">
        <v>617</v>
      </c>
      <c r="F187" s="10" t="s">
        <v>1281</v>
      </c>
      <c r="G187" s="10" t="s">
        <v>1277</v>
      </c>
      <c r="H187" s="10"/>
      <c r="I187" s="4" t="s">
        <v>1284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1283</v>
      </c>
      <c r="N187" s="16" t="s">
        <v>588</v>
      </c>
      <c r="O187" s="16" t="s">
        <v>1285</v>
      </c>
      <c r="P187" s="9" t="s">
        <v>10</v>
      </c>
      <c r="Q187" s="16" t="s">
        <v>563</v>
      </c>
      <c r="R187" s="16" t="s">
        <v>482</v>
      </c>
    </row>
    <row r="188" spans="1:18" x14ac:dyDescent="0.25">
      <c r="A188" s="10">
        <f>ROW(Tabela1[[#This Row],[Toolbox No / Container No]])-1</f>
        <v>187</v>
      </c>
      <c r="B188" s="10" t="s">
        <v>178</v>
      </c>
      <c r="C188" s="10" t="s">
        <v>1274</v>
      </c>
      <c r="D188" s="10" t="s">
        <v>99</v>
      </c>
      <c r="E188" s="10" t="s">
        <v>617</v>
      </c>
      <c r="F188" s="10" t="s">
        <v>1281</v>
      </c>
      <c r="G188" s="10" t="s">
        <v>1277</v>
      </c>
      <c r="H188" s="10"/>
      <c r="I188" s="4" t="s">
        <v>1286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1283</v>
      </c>
      <c r="N188" s="16" t="s">
        <v>588</v>
      </c>
      <c r="O188" s="16" t="s">
        <v>1285</v>
      </c>
      <c r="P188" s="9" t="s">
        <v>10</v>
      </c>
      <c r="Q188" s="16" t="s">
        <v>563</v>
      </c>
      <c r="R188" s="16" t="s">
        <v>483</v>
      </c>
    </row>
    <row r="189" spans="1:18" x14ac:dyDescent="0.25">
      <c r="A189" s="10">
        <f>ROW(Tabela1[[#This Row],[Toolbox No / Container No]])-1</f>
        <v>188</v>
      </c>
      <c r="B189" s="10" t="s">
        <v>179</v>
      </c>
      <c r="C189" s="10" t="s">
        <v>1274</v>
      </c>
      <c r="D189" s="10" t="s">
        <v>99</v>
      </c>
      <c r="E189" s="10" t="s">
        <v>617</v>
      </c>
      <c r="F189" s="10" t="s">
        <v>1281</v>
      </c>
      <c r="G189" s="10" t="s">
        <v>1277</v>
      </c>
      <c r="H189" s="10"/>
      <c r="I189" s="4" t="s">
        <v>1287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1283</v>
      </c>
      <c r="N189" s="16" t="s">
        <v>588</v>
      </c>
      <c r="O189" s="16" t="s">
        <v>1285</v>
      </c>
      <c r="P189" s="9" t="s">
        <v>10</v>
      </c>
      <c r="Q189" s="16" t="s">
        <v>563</v>
      </c>
      <c r="R189" s="16" t="s">
        <v>484</v>
      </c>
    </row>
    <row r="190" spans="1:18" x14ac:dyDescent="0.25">
      <c r="A190" s="10">
        <f>ROW(Tabela1[[#This Row],[Toolbox No / Container No]])-1</f>
        <v>189</v>
      </c>
      <c r="B190" s="10" t="s">
        <v>180</v>
      </c>
      <c r="C190" s="10" t="s">
        <v>1274</v>
      </c>
      <c r="D190" s="10" t="s">
        <v>99</v>
      </c>
      <c r="E190" s="10" t="s">
        <v>617</v>
      </c>
      <c r="F190" s="10" t="s">
        <v>1281</v>
      </c>
      <c r="G190" s="10" t="s">
        <v>1277</v>
      </c>
      <c r="H190" s="10"/>
      <c r="I190" s="4" t="s">
        <v>1288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1289</v>
      </c>
      <c r="N190" s="16" t="s">
        <v>588</v>
      </c>
      <c r="O190" s="16" t="s">
        <v>1285</v>
      </c>
      <c r="P190" s="9" t="s">
        <v>10</v>
      </c>
      <c r="Q190" s="16" t="s">
        <v>563</v>
      </c>
      <c r="R190" s="16" t="s">
        <v>485</v>
      </c>
    </row>
    <row r="191" spans="1:18" x14ac:dyDescent="0.25">
      <c r="A191" s="10">
        <f>ROW(Tabela1[[#This Row],[Toolbox No / Container No]])-1</f>
        <v>190</v>
      </c>
      <c r="B191" s="10" t="s">
        <v>212</v>
      </c>
      <c r="C191" s="10" t="s">
        <v>1274</v>
      </c>
      <c r="D191" s="10" t="s">
        <v>1275</v>
      </c>
      <c r="E191" s="10" t="s">
        <v>617</v>
      </c>
      <c r="F191" s="10" t="s">
        <v>1276</v>
      </c>
      <c r="G191" s="10" t="s">
        <v>1277</v>
      </c>
      <c r="H191" s="10"/>
      <c r="I191" s="4" t="s">
        <v>1290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1291</v>
      </c>
      <c r="N191" s="16" t="s">
        <v>588</v>
      </c>
      <c r="O191" s="16" t="s">
        <v>1292</v>
      </c>
      <c r="P191" s="9" t="s">
        <v>10</v>
      </c>
      <c r="Q191" s="16" t="s">
        <v>563</v>
      </c>
      <c r="R191" s="16" t="s">
        <v>486</v>
      </c>
    </row>
    <row r="192" spans="1:18" x14ac:dyDescent="0.25">
      <c r="A192" s="10">
        <f>ROW(Tabela1[[#This Row],[Toolbox No / Container No]])-1</f>
        <v>191</v>
      </c>
      <c r="B192" s="10" t="s">
        <v>126</v>
      </c>
      <c r="C192" s="10" t="s">
        <v>605</v>
      </c>
      <c r="D192" s="10" t="s">
        <v>616</v>
      </c>
      <c r="E192" s="10" t="s">
        <v>617</v>
      </c>
      <c r="F192" s="10" t="s">
        <v>1293</v>
      </c>
      <c r="G192" s="10" t="s">
        <v>619</v>
      </c>
      <c r="H192" s="10"/>
      <c r="I192" s="5" t="s">
        <v>1294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1295</v>
      </c>
      <c r="N192" s="16" t="s">
        <v>622</v>
      </c>
      <c r="O192" s="16" t="s">
        <v>612</v>
      </c>
      <c r="P192" s="9" t="s">
        <v>10</v>
      </c>
      <c r="Q192" s="16" t="s">
        <v>564</v>
      </c>
      <c r="R192" s="16" t="s">
        <v>487</v>
      </c>
    </row>
    <row r="193" spans="1:18" x14ac:dyDescent="0.25">
      <c r="A193" s="10">
        <f>ROW(Tabela1[[#This Row],[Toolbox No / Container No]])-1</f>
        <v>192</v>
      </c>
      <c r="B193" s="10" t="s">
        <v>127</v>
      </c>
      <c r="C193" s="10" t="s">
        <v>1296</v>
      </c>
      <c r="D193" s="10" t="s">
        <v>129</v>
      </c>
      <c r="E193" s="10" t="s">
        <v>1297</v>
      </c>
      <c r="F193" s="10" t="s">
        <v>1298</v>
      </c>
      <c r="G193" s="10" t="s">
        <v>1299</v>
      </c>
      <c r="H193" s="10"/>
      <c r="I193" s="5" t="s">
        <v>1300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1301</v>
      </c>
      <c r="N193" s="16" t="s">
        <v>588</v>
      </c>
      <c r="O193" s="16" t="s">
        <v>879</v>
      </c>
      <c r="P193" s="9" t="s">
        <v>10</v>
      </c>
      <c r="Q193" s="16" t="s">
        <v>565</v>
      </c>
      <c r="R193" s="16" t="s">
        <v>488</v>
      </c>
    </row>
    <row r="194" spans="1:18" x14ac:dyDescent="0.25">
      <c r="A194" s="10">
        <f>ROW(Tabela1[[#This Row],[Toolbox No / Container No]])-1</f>
        <v>193</v>
      </c>
      <c r="B194" s="10" t="s">
        <v>128</v>
      </c>
      <c r="C194" s="10" t="s">
        <v>1296</v>
      </c>
      <c r="D194" s="10" t="s">
        <v>129</v>
      </c>
      <c r="E194" s="10" t="s">
        <v>1297</v>
      </c>
      <c r="F194" s="10" t="s">
        <v>1298</v>
      </c>
      <c r="G194" s="10" t="s">
        <v>1299</v>
      </c>
      <c r="H194" s="10"/>
      <c r="I194" s="5" t="s">
        <v>1300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1301</v>
      </c>
      <c r="N194" s="16" t="s">
        <v>588</v>
      </c>
      <c r="O194" s="16" t="s">
        <v>879</v>
      </c>
      <c r="P194" s="9" t="s">
        <v>10</v>
      </c>
      <c r="Q194" s="16" t="s">
        <v>566</v>
      </c>
      <c r="R194" s="16" t="s">
        <v>489</v>
      </c>
    </row>
    <row r="195" spans="1:18" x14ac:dyDescent="0.25">
      <c r="A195" s="10">
        <f>ROW(Tabela1[[#This Row],[Toolbox No / Container No]])-1</f>
        <v>194</v>
      </c>
      <c r="B195" s="10" t="s">
        <v>130</v>
      </c>
      <c r="C195" s="10" t="s">
        <v>1296</v>
      </c>
      <c r="D195" s="10" t="s">
        <v>125</v>
      </c>
      <c r="E195" s="10" t="s">
        <v>1302</v>
      </c>
      <c r="F195" s="10" t="s">
        <v>1303</v>
      </c>
      <c r="G195" s="10" t="s">
        <v>679</v>
      </c>
      <c r="H195" s="10"/>
      <c r="I195" s="5" t="s">
        <v>1304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1305</v>
      </c>
      <c r="N195" s="16" t="s">
        <v>588</v>
      </c>
      <c r="O195" s="16" t="s">
        <v>682</v>
      </c>
      <c r="P195" s="9" t="s">
        <v>10</v>
      </c>
      <c r="Q195" s="16" t="s">
        <v>567</v>
      </c>
      <c r="R195" s="16" t="s">
        <v>490</v>
      </c>
    </row>
    <row r="196" spans="1:18" x14ac:dyDescent="0.25">
      <c r="A196" s="10">
        <f>ROW(Tabela1[[#This Row],[Toolbox No / Container No]])-1</f>
        <v>195</v>
      </c>
      <c r="B196" s="10" t="s">
        <v>131</v>
      </c>
      <c r="C196" s="10" t="s">
        <v>1296</v>
      </c>
      <c r="D196" s="10" t="s">
        <v>1306</v>
      </c>
      <c r="E196" s="10" t="s">
        <v>617</v>
      </c>
      <c r="F196" s="10" t="s">
        <v>1307</v>
      </c>
      <c r="G196" s="10" t="s">
        <v>704</v>
      </c>
      <c r="H196" s="10"/>
      <c r="I196" s="5" t="s">
        <v>1308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1309</v>
      </c>
      <c r="N196" s="16" t="s">
        <v>588</v>
      </c>
      <c r="O196" s="16" t="s">
        <v>682</v>
      </c>
      <c r="P196" s="9" t="s">
        <v>10</v>
      </c>
      <c r="Q196" s="16" t="s">
        <v>568</v>
      </c>
      <c r="R196" s="16" t="s">
        <v>491</v>
      </c>
    </row>
    <row r="197" spans="1:18" x14ac:dyDescent="0.25">
      <c r="A197" s="10">
        <f>ROW(Tabela1[[#This Row],[Toolbox No / Container No]])-1</f>
        <v>196</v>
      </c>
      <c r="B197" s="10" t="s">
        <v>132</v>
      </c>
      <c r="C197" s="10" t="s">
        <v>605</v>
      </c>
      <c r="D197" s="10" t="s">
        <v>606</v>
      </c>
      <c r="E197" s="10" t="s">
        <v>607</v>
      </c>
      <c r="F197" s="10" t="s">
        <v>613</v>
      </c>
      <c r="G197" s="10" t="s">
        <v>609</v>
      </c>
      <c r="H197" s="10"/>
      <c r="I197" s="5" t="s">
        <v>1310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1311</v>
      </c>
      <c r="N197" s="16" t="s">
        <v>588</v>
      </c>
      <c r="O197" s="16" t="s">
        <v>612</v>
      </c>
      <c r="P197" s="9" t="s">
        <v>10</v>
      </c>
      <c r="Q197" s="16" t="s">
        <v>568</v>
      </c>
      <c r="R197" s="16" t="s">
        <v>492</v>
      </c>
    </row>
    <row r="198" spans="1:18" x14ac:dyDescent="0.25">
      <c r="A198" s="10">
        <f>ROW(Tabela1[[#This Row],[Toolbox No / Container No]])-1</f>
        <v>197</v>
      </c>
      <c r="B198" s="10" t="s">
        <v>133</v>
      </c>
      <c r="C198" s="10" t="s">
        <v>605</v>
      </c>
      <c r="D198" s="10" t="s">
        <v>606</v>
      </c>
      <c r="E198" s="10" t="s">
        <v>607</v>
      </c>
      <c r="F198" s="10" t="s">
        <v>608</v>
      </c>
      <c r="G198" s="10" t="s">
        <v>609</v>
      </c>
      <c r="H198" s="10"/>
      <c r="I198" s="5" t="s">
        <v>1312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1313</v>
      </c>
      <c r="N198" s="16" t="s">
        <v>588</v>
      </c>
      <c r="O198" s="16" t="s">
        <v>612</v>
      </c>
      <c r="P198" s="9" t="s">
        <v>10</v>
      </c>
      <c r="Q198" s="16" t="s">
        <v>568</v>
      </c>
      <c r="R198" s="16" t="s">
        <v>493</v>
      </c>
    </row>
    <row r="199" spans="1:18" x14ac:dyDescent="0.25">
      <c r="A199" s="10">
        <f>ROW(Tabela1[[#This Row],[Toolbox No / Container No]])-1</f>
        <v>198</v>
      </c>
      <c r="B199" s="10" t="s">
        <v>134</v>
      </c>
      <c r="C199" s="10" t="s">
        <v>1296</v>
      </c>
      <c r="D199" s="10" t="s">
        <v>125</v>
      </c>
      <c r="E199" s="10" t="s">
        <v>617</v>
      </c>
      <c r="F199" s="10" t="s">
        <v>1314</v>
      </c>
      <c r="G199" s="10" t="s">
        <v>679</v>
      </c>
      <c r="H199" s="10"/>
      <c r="I199" s="5" t="s">
        <v>1315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1316</v>
      </c>
      <c r="N199" s="16" t="s">
        <v>588</v>
      </c>
      <c r="O199" s="16" t="s">
        <v>682</v>
      </c>
      <c r="P199" s="9" t="s">
        <v>10</v>
      </c>
      <c r="Q199" s="16" t="s">
        <v>569</v>
      </c>
      <c r="R199" s="16" t="s">
        <v>494</v>
      </c>
    </row>
    <row r="200" spans="1:18" x14ac:dyDescent="0.25">
      <c r="A200" s="10">
        <f>ROW(Tabela1[[#This Row],[Toolbox No / Container No]])-1</f>
        <v>199</v>
      </c>
      <c r="B200" s="10" t="s">
        <v>135</v>
      </c>
      <c r="C200" s="10" t="s">
        <v>1296</v>
      </c>
      <c r="D200" s="10" t="s">
        <v>1306</v>
      </c>
      <c r="E200" s="10" t="s">
        <v>617</v>
      </c>
      <c r="F200" s="10" t="s">
        <v>1307</v>
      </c>
      <c r="G200" s="10" t="s">
        <v>1299</v>
      </c>
      <c r="H200" s="10"/>
      <c r="I200" s="5" t="s">
        <v>1317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1318</v>
      </c>
      <c r="N200" s="16" t="s">
        <v>588</v>
      </c>
      <c r="O200" s="16" t="s">
        <v>879</v>
      </c>
      <c r="P200" s="9" t="s">
        <v>10</v>
      </c>
      <c r="Q200" s="16" t="s">
        <v>568</v>
      </c>
      <c r="R200" s="16" t="s">
        <v>495</v>
      </c>
    </row>
    <row r="201" spans="1:18" x14ac:dyDescent="0.25">
      <c r="A201" s="10">
        <f>ROW(Tabela1[[#This Row],[Toolbox No / Container No]])-1</f>
        <v>200</v>
      </c>
      <c r="B201" s="10" t="s">
        <v>136</v>
      </c>
      <c r="C201" s="10" t="s">
        <v>1296</v>
      </c>
      <c r="D201" s="10" t="s">
        <v>102</v>
      </c>
      <c r="E201" s="10" t="s">
        <v>1319</v>
      </c>
      <c r="F201" s="10" t="s">
        <v>1307</v>
      </c>
      <c r="G201" s="10" t="s">
        <v>1299</v>
      </c>
      <c r="H201" s="10"/>
      <c r="I201" s="5" t="s">
        <v>1320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1321</v>
      </c>
      <c r="N201" s="16" t="s">
        <v>588</v>
      </c>
      <c r="O201" s="16" t="s">
        <v>879</v>
      </c>
      <c r="P201" s="9" t="s">
        <v>10</v>
      </c>
      <c r="Q201" s="16" t="s">
        <v>570</v>
      </c>
      <c r="R201" s="16" t="s">
        <v>496</v>
      </c>
    </row>
    <row r="202" spans="1:18" x14ac:dyDescent="0.25">
      <c r="A202" s="10">
        <f>ROW(Tabela1[[#This Row],[Toolbox No / Container No]])-1</f>
        <v>201</v>
      </c>
      <c r="B202" s="10" t="s">
        <v>8</v>
      </c>
      <c r="C202" s="10" t="s">
        <v>1322</v>
      </c>
      <c r="D202" s="10" t="s">
        <v>1323</v>
      </c>
      <c r="E202" s="10" t="s">
        <v>1324</v>
      </c>
      <c r="F202" s="10" t="s">
        <v>1325</v>
      </c>
      <c r="G202" s="10" t="s">
        <v>882</v>
      </c>
      <c r="H202" s="10" t="s">
        <v>9</v>
      </c>
      <c r="I202" s="4" t="s">
        <v>1326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1327</v>
      </c>
      <c r="N202" s="16" t="s">
        <v>588</v>
      </c>
      <c r="O202" s="16" t="s">
        <v>1328</v>
      </c>
      <c r="P202" s="9" t="s">
        <v>10</v>
      </c>
      <c r="Q202" s="16" t="s">
        <v>571</v>
      </c>
      <c r="R202" s="16" t="s">
        <v>497</v>
      </c>
    </row>
    <row r="203" spans="1:18" ht="22.5" x14ac:dyDescent="0.25">
      <c r="A203" s="10">
        <f>ROW(Tabela1[[#This Row],[Toolbox No / Container No]])-1</f>
        <v>202</v>
      </c>
      <c r="B203" s="10" t="s">
        <v>11</v>
      </c>
      <c r="C203" s="10" t="s">
        <v>1322</v>
      </c>
      <c r="D203" s="10" t="s">
        <v>1329</v>
      </c>
      <c r="E203" s="10" t="s">
        <v>1330</v>
      </c>
      <c r="F203" s="10" t="s">
        <v>1331</v>
      </c>
      <c r="G203" s="10" t="s">
        <v>882</v>
      </c>
      <c r="H203" s="10" t="s">
        <v>12</v>
      </c>
      <c r="I203" s="4" t="s">
        <v>1332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1333</v>
      </c>
      <c r="N203" s="16" t="s">
        <v>588</v>
      </c>
      <c r="O203" s="16" t="s">
        <v>1334</v>
      </c>
      <c r="P203" s="9" t="s">
        <v>10</v>
      </c>
      <c r="Q203" s="16" t="s">
        <v>572</v>
      </c>
      <c r="R203" s="16" t="s">
        <v>498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b6TfEIJz7BbB8nyr-M4QQSfkMPjIYEHJ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display="https://drive.google.com/file/d/1uJ540-I6v7_Y9GrykHiQD9D5rnx8-4Gs/view?usp=drive_link" xr:uid="{FBD2DD81-E011-4F76-8995-E0EE2B3C2561}"/>
  </hyperlinks>
  <pageMargins left="0.511811024" right="0.511811024" top="0.78740157499999996" bottom="0.78740157499999996" header="0.31496062000000002" footer="0.31496062000000002"/>
  <pageSetup orientation="portrait" horizontalDpi="300" verticalDpi="300" r:id="rId203"/>
  <ignoredErrors>
    <ignoredError sqref="I2:I203" calculatedColumn="1"/>
  </ignoredErrors>
  <tableParts count="1">
    <tablePart r:id="rId204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2025-09-30T04:01:21Z</dcterms:modified>
  <cp:category/>
  <cp:contentStatus/>
</cp:coreProperties>
</file>