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pmja-auditoria\"/>
    </mc:Choice>
  </mc:AlternateContent>
  <xr:revisionPtr revIDLastSave="0" documentId="13_ncr:1_{0D98ABD4-46DB-49CF-97CD-4CEC2C253B68}" xr6:coauthVersionLast="47" xr6:coauthVersionMax="47" xr10:uidLastSave="{00000000-0000-0000-0000-000000000000}"/>
  <bookViews>
    <workbookView xWindow="-108" yWindow="-108" windowWidth="23256" windowHeight="12456" xr2:uid="{C68189FA-9AD8-4A38-9E43-48442A7261CE}"/>
  </bookViews>
  <sheets>
    <sheet name="Planilha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" i="1" l="1"/>
  <c r="A204" i="1"/>
  <c r="H204" i="1"/>
  <c r="I204" i="1" s="1"/>
  <c r="A166" i="1" l="1"/>
  <c r="A80" i="1"/>
  <c r="A70" i="1"/>
  <c r="A71" i="1"/>
  <c r="A72" i="1"/>
  <c r="A73" i="1"/>
  <c r="A74" i="1"/>
  <c r="A75" i="1"/>
  <c r="A77" i="1"/>
  <c r="A81" i="1"/>
  <c r="A82" i="1"/>
  <c r="A130" i="1"/>
  <c r="A131" i="1"/>
  <c r="A132" i="1"/>
  <c r="A126" i="1"/>
  <c r="A146" i="1"/>
  <c r="A136" i="1"/>
  <c r="A172" i="1"/>
  <c r="A178" i="1"/>
  <c r="A147" i="1"/>
  <c r="A180" i="1"/>
  <c r="A148" i="1"/>
  <c r="A124" i="1"/>
  <c r="A177" i="1"/>
  <c r="A173" i="1"/>
  <c r="A174" i="1"/>
  <c r="A149" i="1"/>
  <c r="A175" i="1"/>
  <c r="H80" i="1"/>
  <c r="I80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7" i="1"/>
  <c r="I77" i="1" s="1"/>
  <c r="H81" i="1"/>
  <c r="I81" i="1" s="1"/>
  <c r="H82" i="1"/>
  <c r="I82" i="1" s="1"/>
  <c r="H130" i="1"/>
  <c r="I130" i="1" s="1"/>
  <c r="H131" i="1"/>
  <c r="I131" i="1" s="1"/>
  <c r="H132" i="1"/>
  <c r="I132" i="1" s="1"/>
  <c r="H126" i="1"/>
  <c r="I126" i="1" s="1"/>
  <c r="H146" i="1"/>
  <c r="I146" i="1" s="1"/>
  <c r="H136" i="1"/>
  <c r="I136" i="1" s="1"/>
  <c r="H172" i="1"/>
  <c r="I172" i="1" s="1"/>
  <c r="H178" i="1"/>
  <c r="I178" i="1" s="1"/>
  <c r="H147" i="1"/>
  <c r="I147" i="1" s="1"/>
  <c r="H180" i="1"/>
  <c r="I180" i="1" s="1"/>
  <c r="H148" i="1"/>
  <c r="I148" i="1" s="1"/>
  <c r="H124" i="1"/>
  <c r="I124" i="1" s="1"/>
  <c r="H177" i="1"/>
  <c r="I177" i="1" s="1"/>
  <c r="H173" i="1"/>
  <c r="I173" i="1" s="1"/>
  <c r="H174" i="1"/>
  <c r="I174" i="1" s="1"/>
  <c r="H149" i="1"/>
  <c r="I149" i="1" s="1"/>
  <c r="H175" i="1"/>
  <c r="I175" i="1" s="1"/>
  <c r="A13" i="1"/>
  <c r="A15" i="1"/>
  <c r="A52" i="1"/>
  <c r="A61" i="1"/>
  <c r="A64" i="1"/>
  <c r="A76" i="1"/>
  <c r="A78" i="1"/>
  <c r="A79" i="1"/>
  <c r="A43" i="1"/>
  <c r="A164" i="1"/>
  <c r="A150" i="1"/>
  <c r="A151" i="1"/>
  <c r="A153" i="1"/>
  <c r="A159" i="1"/>
  <c r="A165" i="1"/>
  <c r="A176" i="1"/>
  <c r="H176" i="1"/>
  <c r="I176" i="1" s="1"/>
  <c r="H150" i="1"/>
  <c r="I150" i="1" s="1"/>
  <c r="H151" i="1"/>
  <c r="I151" i="1" s="1"/>
  <c r="H153" i="1"/>
  <c r="I153" i="1" s="1"/>
  <c r="H159" i="1"/>
  <c r="I159" i="1" s="1"/>
  <c r="H165" i="1"/>
  <c r="I165" i="1" s="1"/>
  <c r="H13" i="1"/>
  <c r="I13" i="1" s="1"/>
  <c r="H15" i="1"/>
  <c r="I15" i="1" s="1"/>
  <c r="H52" i="1"/>
  <c r="I52" i="1" s="1"/>
  <c r="H61" i="1"/>
  <c r="I61" i="1" s="1"/>
  <c r="H64" i="1"/>
  <c r="I64" i="1" s="1"/>
  <c r="H76" i="1"/>
  <c r="I76" i="1" s="1"/>
  <c r="H78" i="1"/>
  <c r="I78" i="1" s="1"/>
  <c r="H79" i="1"/>
  <c r="I79" i="1" s="1"/>
  <c r="H43" i="1"/>
  <c r="I43" i="1" s="1"/>
  <c r="H164" i="1"/>
  <c r="I164" i="1" s="1"/>
  <c r="A48" i="1"/>
  <c r="A66" i="1"/>
  <c r="A67" i="1"/>
  <c r="A39" i="1"/>
  <c r="A24" i="1"/>
  <c r="A25" i="1"/>
  <c r="A21" i="1"/>
  <c r="A38" i="1"/>
  <c r="A26" i="1"/>
  <c r="A28" i="1"/>
  <c r="A29" i="1"/>
  <c r="A32" i="1"/>
  <c r="A33" i="1"/>
  <c r="A45" i="1"/>
  <c r="A46" i="1"/>
  <c r="H48" i="1"/>
  <c r="I48" i="1" s="1"/>
  <c r="H66" i="1"/>
  <c r="I66" i="1" s="1"/>
  <c r="H67" i="1"/>
  <c r="I67" i="1" s="1"/>
  <c r="H39" i="1"/>
  <c r="I39" i="1" s="1"/>
  <c r="H24" i="1"/>
  <c r="I24" i="1" s="1"/>
  <c r="H25" i="1"/>
  <c r="I25" i="1" s="1"/>
  <c r="H21" i="1"/>
  <c r="I21" i="1" s="1"/>
  <c r="H38" i="1"/>
  <c r="I38" i="1" s="1"/>
  <c r="H26" i="1"/>
  <c r="I26" i="1" s="1"/>
  <c r="H28" i="1"/>
  <c r="I28" i="1" s="1"/>
  <c r="H29" i="1"/>
  <c r="I29" i="1" s="1"/>
  <c r="H32" i="1"/>
  <c r="I32" i="1" s="1"/>
  <c r="H33" i="1"/>
  <c r="I33" i="1" s="1"/>
  <c r="H45" i="1"/>
  <c r="I45" i="1" s="1"/>
  <c r="H46" i="1"/>
  <c r="I46" i="1" s="1"/>
  <c r="A184" i="1"/>
  <c r="H184" i="1"/>
  <c r="I184" i="1" s="1"/>
  <c r="A89" i="1"/>
  <c r="A88" i="1"/>
  <c r="A91" i="1"/>
  <c r="A92" i="1"/>
  <c r="A68" i="1"/>
  <c r="A127" i="1"/>
  <c r="A128" i="1"/>
  <c r="A179" i="1"/>
  <c r="A10" i="1"/>
  <c r="A20" i="1"/>
  <c r="A161" i="1"/>
  <c r="A93" i="1"/>
  <c r="A158" i="1"/>
  <c r="A86" i="1"/>
  <c r="A191" i="1"/>
  <c r="A47" i="1"/>
  <c r="A50" i="1"/>
  <c r="A51" i="1"/>
  <c r="A53" i="1"/>
  <c r="A54" i="1"/>
  <c r="A55" i="1"/>
  <c r="A56" i="1"/>
  <c r="A57" i="1"/>
  <c r="A58" i="1"/>
  <c r="A59" i="1"/>
  <c r="A168" i="1"/>
  <c r="A169" i="1"/>
  <c r="A22" i="1"/>
  <c r="A23" i="1"/>
  <c r="A30" i="1"/>
  <c r="A31" i="1"/>
  <c r="A34" i="1"/>
  <c r="A35" i="1"/>
  <c r="A36" i="1"/>
  <c r="A37" i="1"/>
  <c r="A63" i="1"/>
  <c r="A69" i="1"/>
  <c r="A125" i="1"/>
  <c r="A129" i="1"/>
  <c r="H89" i="1"/>
  <c r="I89" i="1" s="1"/>
  <c r="H88" i="1"/>
  <c r="I88" i="1" s="1"/>
  <c r="H91" i="1"/>
  <c r="I91" i="1" s="1"/>
  <c r="H92" i="1"/>
  <c r="I92" i="1" s="1"/>
  <c r="H68" i="1"/>
  <c r="I68" i="1" s="1"/>
  <c r="H127" i="1"/>
  <c r="I127" i="1" s="1"/>
  <c r="H128" i="1"/>
  <c r="I128" i="1" s="1"/>
  <c r="H179" i="1"/>
  <c r="I179" i="1" s="1"/>
  <c r="H10" i="1"/>
  <c r="I10" i="1" s="1"/>
  <c r="H20" i="1"/>
  <c r="I20" i="1" s="1"/>
  <c r="H161" i="1"/>
  <c r="I161" i="1" s="1"/>
  <c r="H93" i="1"/>
  <c r="I93" i="1" s="1"/>
  <c r="H158" i="1"/>
  <c r="I158" i="1" s="1"/>
  <c r="H86" i="1"/>
  <c r="I86" i="1" s="1"/>
  <c r="H191" i="1"/>
  <c r="I191" i="1" s="1"/>
  <c r="H47" i="1"/>
  <c r="I47" i="1" s="1"/>
  <c r="H50" i="1"/>
  <c r="I50" i="1" s="1"/>
  <c r="H51" i="1"/>
  <c r="I51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168" i="1"/>
  <c r="I168" i="1" s="1"/>
  <c r="H169" i="1"/>
  <c r="I169" i="1" s="1"/>
  <c r="H22" i="1"/>
  <c r="I22" i="1" s="1"/>
  <c r="H23" i="1"/>
  <c r="I23" i="1" s="1"/>
  <c r="H30" i="1"/>
  <c r="I30" i="1" s="1"/>
  <c r="H31" i="1"/>
  <c r="I31" i="1" s="1"/>
  <c r="H34" i="1"/>
  <c r="I34" i="1" s="1"/>
  <c r="H35" i="1"/>
  <c r="I35" i="1" s="1"/>
  <c r="H36" i="1"/>
  <c r="I36" i="1" s="1"/>
  <c r="H37" i="1"/>
  <c r="I37" i="1" s="1"/>
  <c r="H63" i="1"/>
  <c r="I63" i="1" s="1"/>
  <c r="H69" i="1"/>
  <c r="I69" i="1" s="1"/>
  <c r="H125" i="1"/>
  <c r="I125" i="1" s="1"/>
  <c r="H129" i="1"/>
  <c r="I129" i="1" s="1"/>
  <c r="F116" i="1"/>
  <c r="A186" i="1" l="1"/>
  <c r="A187" i="1"/>
  <c r="A188" i="1"/>
  <c r="A189" i="1"/>
  <c r="A190" i="1"/>
  <c r="A152" i="1"/>
  <c r="A2" i="1"/>
  <c r="A83" i="1"/>
  <c r="A85" i="1"/>
  <c r="A84" i="1"/>
  <c r="A87" i="1"/>
  <c r="H186" i="1"/>
  <c r="I186" i="1" s="1"/>
  <c r="H187" i="1"/>
  <c r="I187" i="1" s="1"/>
  <c r="H188" i="1"/>
  <c r="I188" i="1" s="1"/>
  <c r="H189" i="1"/>
  <c r="I189" i="1" s="1"/>
  <c r="H190" i="1"/>
  <c r="I190" i="1" s="1"/>
  <c r="H152" i="1"/>
  <c r="I152" i="1" s="1"/>
  <c r="H2" i="1"/>
  <c r="I2" i="1" s="1"/>
  <c r="H3" i="1"/>
  <c r="I3" i="1" s="1"/>
  <c r="H83" i="1"/>
  <c r="I83" i="1" s="1"/>
  <c r="H85" i="1"/>
  <c r="I85" i="1" s="1"/>
  <c r="H84" i="1"/>
  <c r="I84" i="1" s="1"/>
  <c r="H87" i="1"/>
  <c r="I87" i="1" s="1"/>
  <c r="A195" i="1" l="1"/>
  <c r="A196" i="1"/>
  <c r="A197" i="1"/>
  <c r="A198" i="1"/>
  <c r="A199" i="1"/>
  <c r="A200" i="1"/>
  <c r="A201" i="1"/>
  <c r="A117" i="1"/>
  <c r="A118" i="1"/>
  <c r="A11" i="1"/>
  <c r="A5" i="1"/>
  <c r="H5" i="1"/>
  <c r="I5" i="1" s="1"/>
  <c r="H11" i="1"/>
  <c r="I11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117" i="1"/>
  <c r="I117" i="1" s="1"/>
  <c r="H118" i="1"/>
  <c r="I118" i="1" s="1"/>
  <c r="A116" i="1"/>
  <c r="A115" i="1"/>
  <c r="A7" i="1"/>
  <c r="A8" i="1"/>
  <c r="A154" i="1"/>
  <c r="A155" i="1"/>
  <c r="A170" i="1"/>
  <c r="A162" i="1"/>
  <c r="A163" i="1"/>
  <c r="A167" i="1"/>
  <c r="A133" i="1"/>
  <c r="A120" i="1"/>
  <c r="A121" i="1"/>
  <c r="A122" i="1"/>
  <c r="A119" i="1"/>
  <c r="A9" i="1"/>
  <c r="A4" i="1"/>
  <c r="A185" i="1"/>
  <c r="A14" i="1"/>
  <c r="A27" i="1"/>
  <c r="A60" i="1"/>
  <c r="A49" i="1"/>
  <c r="A94" i="1"/>
  <c r="A160" i="1"/>
  <c r="A137" i="1"/>
  <c r="A138" i="1"/>
  <c r="A139" i="1"/>
  <c r="A140" i="1"/>
  <c r="A141" i="1"/>
  <c r="A142" i="1"/>
  <c r="A143" i="1"/>
  <c r="A144" i="1"/>
  <c r="A181" i="1"/>
  <c r="A18" i="1"/>
  <c r="A183" i="1"/>
  <c r="A44" i="1"/>
  <c r="A65" i="1"/>
  <c r="A182" i="1"/>
  <c r="A90" i="1"/>
  <c r="A145" i="1"/>
  <c r="A6" i="1"/>
  <c r="A123" i="1"/>
  <c r="A171" i="1"/>
  <c r="A40" i="1"/>
  <c r="A41" i="1"/>
  <c r="A42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92" i="1"/>
  <c r="A193" i="1"/>
  <c r="A194" i="1"/>
  <c r="A203" i="1"/>
  <c r="A202" i="1"/>
  <c r="A19" i="1"/>
  <c r="A134" i="1"/>
  <c r="A135" i="1"/>
  <c r="A157" i="1"/>
  <c r="A156" i="1"/>
  <c r="A12" i="1"/>
  <c r="A17" i="1"/>
  <c r="A16" i="1"/>
  <c r="A62" i="1"/>
  <c r="H183" i="1"/>
  <c r="I183" i="1" s="1"/>
  <c r="H44" i="1"/>
  <c r="I44" i="1" s="1"/>
  <c r="H65" i="1"/>
  <c r="I65" i="1" s="1"/>
  <c r="H182" i="1"/>
  <c r="I182" i="1" s="1"/>
  <c r="H90" i="1"/>
  <c r="I90" i="1" s="1"/>
  <c r="H145" i="1"/>
  <c r="I145" i="1" s="1"/>
  <c r="H6" i="1"/>
  <c r="I6" i="1" s="1"/>
  <c r="H123" i="1"/>
  <c r="I123" i="1" s="1"/>
  <c r="H171" i="1"/>
  <c r="I171" i="1" s="1"/>
  <c r="H40" i="1"/>
  <c r="I40" i="1" s="1"/>
  <c r="H41" i="1"/>
  <c r="I41" i="1" s="1"/>
  <c r="H42" i="1"/>
  <c r="I42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92" i="1"/>
  <c r="I192" i="1" s="1"/>
  <c r="H193" i="1"/>
  <c r="I193" i="1" s="1"/>
  <c r="H194" i="1"/>
  <c r="I194" i="1" s="1"/>
  <c r="H160" i="1"/>
  <c r="I160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81" i="1"/>
  <c r="I181" i="1" s="1"/>
  <c r="H18" i="1"/>
  <c r="I18" i="1" s="1"/>
  <c r="H116" i="1"/>
  <c r="I116" i="1" s="1"/>
  <c r="H115" i="1"/>
  <c r="I115" i="1" s="1"/>
  <c r="H7" i="1"/>
  <c r="I7" i="1" s="1"/>
  <c r="H8" i="1"/>
  <c r="I8" i="1" s="1"/>
  <c r="H154" i="1"/>
  <c r="I154" i="1" s="1"/>
  <c r="H155" i="1"/>
  <c r="I155" i="1" s="1"/>
  <c r="H170" i="1"/>
  <c r="I170" i="1" s="1"/>
  <c r="H162" i="1"/>
  <c r="I162" i="1" s="1"/>
  <c r="H163" i="1"/>
  <c r="I163" i="1" s="1"/>
  <c r="H166" i="1"/>
  <c r="I166" i="1" s="1"/>
  <c r="H167" i="1"/>
  <c r="I167" i="1" s="1"/>
  <c r="H133" i="1"/>
  <c r="I133" i="1" s="1"/>
  <c r="H120" i="1"/>
  <c r="I120" i="1" s="1"/>
  <c r="H121" i="1"/>
  <c r="I121" i="1" s="1"/>
  <c r="H122" i="1"/>
  <c r="I122" i="1" s="1"/>
  <c r="H119" i="1"/>
  <c r="I119" i="1" s="1"/>
  <c r="H9" i="1"/>
  <c r="I9" i="1" s="1"/>
  <c r="H4" i="1"/>
  <c r="I4" i="1" s="1"/>
  <c r="H185" i="1"/>
  <c r="I185" i="1" s="1"/>
  <c r="H14" i="1"/>
  <c r="I14" i="1" s="1"/>
  <c r="H27" i="1"/>
  <c r="I27" i="1" s="1"/>
  <c r="H60" i="1"/>
  <c r="I60" i="1" s="1"/>
  <c r="H49" i="1"/>
  <c r="I49" i="1" s="1"/>
  <c r="H94" i="1"/>
  <c r="I94" i="1" s="1"/>
  <c r="H62" i="1"/>
  <c r="H16" i="1"/>
  <c r="H17" i="1"/>
  <c r="H12" i="1"/>
  <c r="H156" i="1"/>
  <c r="H157" i="1"/>
  <c r="H135" i="1"/>
  <c r="H134" i="1"/>
  <c r="H19" i="1"/>
  <c r="H202" i="1"/>
  <c r="I202" i="1" s="1"/>
  <c r="H203" i="1"/>
  <c r="I203" i="1" s="1"/>
  <c r="I19" i="1" l="1"/>
  <c r="I134" i="1"/>
  <c r="I135" i="1"/>
  <c r="I157" i="1"/>
  <c r="I156" i="1"/>
  <c r="I62" i="1"/>
  <c r="I12" i="1"/>
  <c r="I17" i="1"/>
  <c r="I16" i="1"/>
</calcChain>
</file>

<file path=xl/sharedStrings.xml><?xml version="1.0" encoding="utf-8"?>
<sst xmlns="http://schemas.openxmlformats.org/spreadsheetml/2006/main" count="1528" uniqueCount="977">
  <si>
    <t>Item</t>
  </si>
  <si>
    <t>Toolbox No / Container No</t>
  </si>
  <si>
    <t>Descrição adicional</t>
  </si>
  <si>
    <t>Manufacturer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</si>
  <si>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</si>
  <si>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</si>
  <si>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</si>
  <si>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</si>
  <si>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</si>
  <si>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</si>
  <si>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</si>
  <si>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Trena Laser  –  50 MT - Precisão 1,5mm</t>
  </si>
  <si>
    <t>BOSCH - GLM 50-12</t>
  </si>
  <si>
    <t>521508301</t>
  </si>
  <si>
    <t>C-C4-852795 / Jaguara - Engie - Modernização</t>
  </si>
  <si>
    <t>JAG 000116</t>
  </si>
  <si>
    <t>Trena Laser 100' – 30,00 metros</t>
  </si>
  <si>
    <t>DEWALT - DWHT77100-CN</t>
  </si>
  <si>
    <t>038744</t>
  </si>
  <si>
    <t>HBS 003918</t>
  </si>
  <si>
    <t>Nível De Precisão Quadrangular 0,02Mm - 200Mm</t>
  </si>
  <si>
    <t>Digimess</t>
  </si>
  <si>
    <t>HBS 003917</t>
  </si>
  <si>
    <t>HBS 003913</t>
  </si>
  <si>
    <t>Balança Digital 0,04 A 30 Kg - 20W - 110/220V</t>
  </si>
  <si>
    <t>BALMAK ELP-6/15/30</t>
  </si>
  <si>
    <t>011860</t>
  </si>
  <si>
    <t>HBS 003914</t>
  </si>
  <si>
    <t>011843</t>
  </si>
  <si>
    <t>HBS 003912</t>
  </si>
  <si>
    <t>Termo-Higrômetro Digital (-10°C a 50°C)</t>
  </si>
  <si>
    <t>HTC-1</t>
  </si>
  <si>
    <t>HBS 003911</t>
  </si>
  <si>
    <t>HBS 003888</t>
  </si>
  <si>
    <t>Torquimetro Analógico de Estalo Enc. 1" 750-2000 N.M.</t>
  </si>
  <si>
    <t>Gedore - DREMOMETER</t>
  </si>
  <si>
    <t>09226020</t>
  </si>
  <si>
    <t>HBS 003885</t>
  </si>
  <si>
    <t>Termo-Higrômetro Digital (-50°C a 70ºC)</t>
  </si>
  <si>
    <t>Minipa - MT-241</t>
  </si>
  <si>
    <t>4472458</t>
  </si>
  <si>
    <t>HBS 003884</t>
  </si>
  <si>
    <t>4472449</t>
  </si>
  <si>
    <t>HBS 003865</t>
  </si>
  <si>
    <t>Termômetro Infravermelho A Laser Portatil -50°C° a +800°C</t>
  </si>
  <si>
    <t>MT-350A</t>
  </si>
  <si>
    <t>3550309</t>
  </si>
  <si>
    <t>HBS003865  CERT. 65186-25 TERMÔMETRO INFRAVERMELHO 50º  a 800 º-COM PADRÃO</t>
  </si>
  <si>
    <t>HBS 003866</t>
  </si>
  <si>
    <t>3550351</t>
  </si>
  <si>
    <t>HBS003866  CERT. 65185-25 TERMÔMETRO INFRAVERMELHO 50º  a 800 º-COM PADRÃO</t>
  </si>
  <si>
    <t>HBS 003864</t>
  </si>
  <si>
    <t xml:space="preserve">Paquimetro profundidade 300 mm - 0,05mm
</t>
  </si>
  <si>
    <t>MITUTOYO 527 203</t>
  </si>
  <si>
    <t>HBS003864 CERT.65176-25 PAQUIMETRO PROFUNDIDADE 0-300x0,05mm - COM PADRÃO</t>
  </si>
  <si>
    <t>HBS 003863</t>
  </si>
  <si>
    <t>Paquimetro Analógico 150 mm - 0,02mm</t>
  </si>
  <si>
    <t>SATA ST91501SC</t>
  </si>
  <si>
    <t>K10221002215</t>
  </si>
  <si>
    <t>HBS003863 CERT.65181-25 Paquimetro Universal  0-150x0,02mm</t>
  </si>
  <si>
    <t>HBS 003860</t>
  </si>
  <si>
    <t>K10221000756</t>
  </si>
  <si>
    <t>HBS003860 CERT.65184-25 Paquimetro Universal  0-150x0,02mm-COM PADRÃO</t>
  </si>
  <si>
    <t>HBS 003861</t>
  </si>
  <si>
    <t>K1022100572</t>
  </si>
  <si>
    <t>HBS003861 CERT.65183-25 Paquimetro Universal  0-150x0,02mm-COM PADRÃO</t>
  </si>
  <si>
    <t>HBS 003862</t>
  </si>
  <si>
    <t>K10221002217</t>
  </si>
  <si>
    <t>HBS 002489</t>
  </si>
  <si>
    <t>Balança Digital 10Kg</t>
  </si>
  <si>
    <t>BELAKAZA</t>
  </si>
  <si>
    <t>HBS 002489 CERT. 63147-25  BALANÇA DIGITAL 10000 Kg x 1 g-COM PADRÃO</t>
  </si>
  <si>
    <t>JAG 000107</t>
  </si>
  <si>
    <t>Alicate Amperímetro Digital - CAT III 600V - CAT IV 300V -1000A</t>
  </si>
  <si>
    <t>Fluke - 305</t>
  </si>
  <si>
    <t>66070678MV</t>
  </si>
  <si>
    <t xml:space="preserve">JAG000107 CERT.63189-25 ALICATE AMPERIMETRO DIGITAL 750V-COM PADRÃO </t>
  </si>
  <si>
    <t>HBS 001480</t>
  </si>
  <si>
    <t>Transferidor De Ângulo 180°</t>
  </si>
  <si>
    <t>Protractor</t>
  </si>
  <si>
    <t>HBS001480 CERT.61778-24 TRANSFERIDOR DE ANGULOS 0-180X1-COM PADRÃO</t>
  </si>
  <si>
    <t>JAG 000106</t>
  </si>
  <si>
    <t>Detector de tensão - 90-1000V</t>
  </si>
  <si>
    <t>MINIPA-HD690</t>
  </si>
  <si>
    <t>4539687</t>
  </si>
  <si>
    <t>JAG 000106 CERT.453968710156-25 DETECTOR DE TENSÃO-COM PADRÃO</t>
  </si>
  <si>
    <t>HBS 002964</t>
  </si>
  <si>
    <t>Escala De Aço 1520mm</t>
  </si>
  <si>
    <t>King Tools</t>
  </si>
  <si>
    <t>HBS002964 CERT.64532-25  ESCALA DE AÇO GRADUADA 0-1500x1,0mm-COM PADRÃO</t>
  </si>
  <si>
    <t>HBS 002344</t>
  </si>
  <si>
    <t>Medidor De Espessura De Camada 0 ~ 1000 Μm - 0,1 Μm</t>
  </si>
  <si>
    <t>Instrutemp</t>
  </si>
  <si>
    <t>127914</t>
  </si>
  <si>
    <t>HBS002344 CERT.63154-25 MEDIDOR DE ESPESSURA DE CAMADAS (FERROSO) 0-2000-COM PADRÃO</t>
  </si>
  <si>
    <t>HBS 003800</t>
  </si>
  <si>
    <t>Manômetro Analógico 0 - 4000Psi - 0-140kgf/cm2-classe B</t>
  </si>
  <si>
    <t>NOVAPRESS</t>
  </si>
  <si>
    <t>HBS 003800- CERT.65153-25  MANOMETRO ANALOGICO 0-700  x 10 Kgf-COM PADRÃO</t>
  </si>
  <si>
    <t>JAG 000046</t>
  </si>
  <si>
    <t>Multimetro Digital-200-1000</t>
  </si>
  <si>
    <t>Minipa - ET-2082E</t>
  </si>
  <si>
    <t xml:space="preserve">  4343414</t>
  </si>
  <si>
    <t>JAG000046 CERT.63187-25 MULTIMETRO DIGITAL 600V-COM PADRÃO</t>
  </si>
  <si>
    <t>HBS 003792</t>
  </si>
  <si>
    <t>Termo-Higrômetro Digital (-20°C a 60ºC)</t>
  </si>
  <si>
    <t>INSTRUTHERM</t>
  </si>
  <si>
    <t>HBS003792 CERT.64070-25 TERMÔHIGROMETRO DIGITAL   -10°a 50ºC-COM PADRÃO</t>
  </si>
  <si>
    <t>JAG 000095</t>
  </si>
  <si>
    <t>Relógio Comparador Analógico 0-10mm - 0,01mm</t>
  </si>
  <si>
    <t>Zaas Precision - REF:03.0001</t>
  </si>
  <si>
    <t>200478</t>
  </si>
  <si>
    <t>JAG.000095 - CERT.64108-25 RELOGIO  COMPARADOR  0-10x0,01mm-COM PADRÃO</t>
  </si>
  <si>
    <t>JAG 000096</t>
  </si>
  <si>
    <t>204188</t>
  </si>
  <si>
    <t>JAG.000096 CERT.64109-25 RELOGIO  COMPARADOR  0-10x0,01mm-COM PADRÃO</t>
  </si>
  <si>
    <t>JAG 000092</t>
  </si>
  <si>
    <t>202872</t>
  </si>
  <si>
    <t>JAG.000092 - CERT.64105-25  RELOGIO  COMPARADOR  0-10x0,01mm-COM PADRÃO</t>
  </si>
  <si>
    <t>JAG 000093</t>
  </si>
  <si>
    <t>204058</t>
  </si>
  <si>
    <t>JAG.000093 - CERT.64106-25 RELOGIO  COMPARADOR  0-10x0,01mm-COM PADRÃO</t>
  </si>
  <si>
    <t>JAG 000094</t>
  </si>
  <si>
    <t>204112</t>
  </si>
  <si>
    <t>JAG.000094 CERT.64104-25 RELOGIO  COMPARADOR  0-10x0,01mm-COM PADRÃO</t>
  </si>
  <si>
    <t>JAG 000091</t>
  </si>
  <si>
    <t>200432</t>
  </si>
  <si>
    <t>JAG.000091 - CERT.64104-25 RELOGIO  COMPARADOR  0-10x0,01mm-COM PADRÃO</t>
  </si>
  <si>
    <t>JAG 000090</t>
  </si>
  <si>
    <t>209862</t>
  </si>
  <si>
    <t>JAG.000090 - CERT.64103-25 RELOGIO  COMPARADOR  0-10x0,01mm-COM PADRÃO</t>
  </si>
  <si>
    <t>JAG 000089</t>
  </si>
  <si>
    <t>Zaas Precision</t>
  </si>
  <si>
    <t>202485</t>
  </si>
  <si>
    <t>JAG 000089 CERT.64255-25 RELOGIO  COMPARADOR  0-10x0,01mm-COM PADRÃO</t>
  </si>
  <si>
    <t>HBS 003195</t>
  </si>
  <si>
    <t>Torquimetro Analógico Enc. 3/4" 150-750 N.M.</t>
  </si>
  <si>
    <t>Gedore - TORCOFIX-K - 4550-75</t>
  </si>
  <si>
    <t>D076830</t>
  </si>
  <si>
    <t>HBS003195 CERT.65157-25 Torquimetro de estalo 150-750 Nm-COM PADRÃO</t>
  </si>
  <si>
    <t>HBS 003188</t>
  </si>
  <si>
    <t>Detector Portátil De Gás H2S 0-100 Ppm 1 Ppm - Co 0-500 Ppm 1 Ppm - O2 0-30.0% 0.1% - 0-100% Lel 1% 0-5.0% V/V 0.1%</t>
  </si>
  <si>
    <t>Bw Gasalert Microclip XL</t>
  </si>
  <si>
    <t>KA422-6029365</t>
  </si>
  <si>
    <t>HBS003188 Detector Portátil De Gás H2S 0-100-COM PADRÃO</t>
  </si>
  <si>
    <t>HBS 003151</t>
  </si>
  <si>
    <t>Torquímetro de Estalo 20-100 Nm</t>
  </si>
  <si>
    <t>Gedore - Torcofix-SE</t>
  </si>
  <si>
    <t>4100-01</t>
  </si>
  <si>
    <t>HBS003151 CERT.65156-25 TORQUIMETRO DE ESTALO  20-100 N.m-COM PADRÃO</t>
  </si>
  <si>
    <t>HBS 003002</t>
  </si>
  <si>
    <t>Manômetro Analógico 0 - 10 Bar</t>
  </si>
  <si>
    <t>Wika</t>
  </si>
  <si>
    <t>HBS003002 - CERT.64251-25 MANÔMETRO ANALOGICO    0-10 x 0,2 Bar -COM PADRÃO</t>
  </si>
  <si>
    <t>HBS 002485</t>
  </si>
  <si>
    <t>Megômetro Digital 10kV 20TΩ CAT IV 600 V</t>
  </si>
  <si>
    <t>Megger - MIT1020/2</t>
  </si>
  <si>
    <t>1000-380/090409/1351</t>
  </si>
  <si>
    <t>HBS 002485 CERT.2507003A Megômetro Digital 10kV 20TΩ CAT IV 600 V-COM PADRÃO</t>
  </si>
  <si>
    <t>HBS 002078</t>
  </si>
  <si>
    <t>Torquimetro Analógico Enc. 3/4" 200-1000 N.M.</t>
  </si>
  <si>
    <t>King Tony - 34662-3Dg</t>
  </si>
  <si>
    <t>1705626345</t>
  </si>
  <si>
    <t>HBS002078 CERT.65697-25 TORQUIMETRO DE ESTALO 200-1000 Nm-COM PADRÃO</t>
  </si>
  <si>
    <t>HBS 000081</t>
  </si>
  <si>
    <t>Micrômetro Tubular Interno 1000 - 5000mm 0,01mm</t>
  </si>
  <si>
    <t>Mitutoyo</t>
  </si>
  <si>
    <t>100865283</t>
  </si>
  <si>
    <t>HBS 000081 CERT.2507001A MICRÔMETRO TUBULAR INTERNO-COM PADRÃO</t>
  </si>
  <si>
    <t>HBS 002262</t>
  </si>
  <si>
    <t>8320720</t>
  </si>
  <si>
    <t>HBS002262 CERT.65166-25 RELOGIO  COMPARADOR  0-10x0,01mm-COM PADRÃO</t>
  </si>
  <si>
    <t>HBS 002056</t>
  </si>
  <si>
    <t>Alicate Amperímetro Digital Ac 20 A, 200 A, 1000 A - 200 V, 750 V - Dc 200Mv, 20V, 200V, 1000V - 200 Ohm, 2K Ohm, 20K Ohm, 200K Ohm , 2M Ohm</t>
  </si>
  <si>
    <t>Minipa</t>
  </si>
  <si>
    <t>HBS002056 CERT.65173-25 ALICATE AMPERIMETRO DIGITAL 750V 1000 V-COM PADRÃO</t>
  </si>
  <si>
    <t>HBS 002059</t>
  </si>
  <si>
    <t>Paquimetro Analógico 200 mm - 0,02mm</t>
  </si>
  <si>
    <t>14849402</t>
  </si>
  <si>
    <t>HBS002059 CERT.65464-25  Paquimetro universal  0-150x0,05mm-COM PADRÃO</t>
  </si>
  <si>
    <t>HBS 002585</t>
  </si>
  <si>
    <t>Gedore</t>
  </si>
  <si>
    <t>4013709</t>
  </si>
  <si>
    <t>HBS002585 -CERT.65080-25  Torquimetro de estalo 750-2000 Nm-COM PADRÃO</t>
  </si>
  <si>
    <t>JAG 000150</t>
  </si>
  <si>
    <t>Esquadro Profissional 12" Stanley</t>
  </si>
  <si>
    <t>STANLEY</t>
  </si>
  <si>
    <t>JAG000150 CERT.66488-25  ESQUADRO COM BASE  190 x 300mm - COM PADRÃO</t>
  </si>
  <si>
    <t>JAG 000169</t>
  </si>
  <si>
    <t>JAG000169 CERT.66489-25  ESQUADRO COM BASE  160 x 300mm-COM PADRÃO</t>
  </si>
  <si>
    <t>JAG 000148</t>
  </si>
  <si>
    <t>Esquadro Standard - Med. 12" - ZAAS</t>
  </si>
  <si>
    <t>ZAAS</t>
  </si>
  <si>
    <t>JAG000148 CERT.66487-25  ESQUADRO COM BASE  130 x 300mm-COM PADRÃO</t>
  </si>
  <si>
    <t>JAG 000144</t>
  </si>
  <si>
    <t>Nível 2 Bolhas Aluminio Magnético 12"</t>
  </si>
  <si>
    <t>Stanley</t>
  </si>
  <si>
    <t>JAG000144 CERT.66512-25  Nível de bolha com 2 bolhas 305 X 55 X 20 mm-COM PADRÃO</t>
  </si>
  <si>
    <t>JAG 000145</t>
  </si>
  <si>
    <t>TRAMONTINA</t>
  </si>
  <si>
    <t xml:space="preserve">JAG000145 CERT.66513-25  Nível de bolha com 2 bolhas 305 X 55 X 20 mm-COM PADRÃO </t>
  </si>
  <si>
    <t>JAG 000179</t>
  </si>
  <si>
    <t xml:space="preserve">Nível 3 Bolhas Aluminio Magnético </t>
  </si>
  <si>
    <t>BELLOTA</t>
  </si>
  <si>
    <t>50108B-24</t>
  </si>
  <si>
    <t xml:space="preserve">JAG000179 CERT.66503-25  Nível de bolha com 3bolhas  hor vert  600 x 55mm-COM PADRÃO </t>
  </si>
  <si>
    <t>JAG 000151</t>
  </si>
  <si>
    <t>Nível 3 Bolhas Aluminio Magnético 12"</t>
  </si>
  <si>
    <t>STARFER</t>
  </si>
  <si>
    <t xml:space="preserve">JAG000151 CERT.66477-25  Nível de bolha com 3bolhas  hor vert 45  300 mm24-COM PADRÃO </t>
  </si>
  <si>
    <t>JAG 000152</t>
  </si>
  <si>
    <t>JAG000152 CERT.66476-25  Nível de bolha com 3bolhas  hor vert 45  300 mm24-COM PADRÃO</t>
  </si>
  <si>
    <t>JAG 000153</t>
  </si>
  <si>
    <t>JAG000153 CERT.66475-25  Nível de bolha com 3bolhas  hor vert 45  300 mm24-COM PADRÃO</t>
  </si>
  <si>
    <t>JAG 000154</t>
  </si>
  <si>
    <t xml:space="preserve">JAG000154 CERT.66474-25  Nível de bolha com 3bolhas  hor vert 45  300 mm24-COM PADRÃO </t>
  </si>
  <si>
    <t>JAG 000155</t>
  </si>
  <si>
    <t>JAG000155 CERT.66507-25  Nível de bolha com 3bolhas  hor vert 300 x 55mm-COM PADRÃO</t>
  </si>
  <si>
    <t>JAG 000156</t>
  </si>
  <si>
    <t>JAG000156 CERT.66506-25  Nível de bolha com 3bolhas  hor vert 300 x 55mm-COM PADRÃO</t>
  </si>
  <si>
    <t>JAG 000157</t>
  </si>
  <si>
    <t>JAG000157 CERT.66509-25  Nível de bolha com 3bolhas  hor vert 300 x 55mm-COM PADRÃO</t>
  </si>
  <si>
    <t>JAG 000158</t>
  </si>
  <si>
    <t>JAG000158 CERT.66508-25  Nível de bolha com 3bolhas  hor vert 300 x 55mm-COM PADRÃO</t>
  </si>
  <si>
    <t>JAG 000159</t>
  </si>
  <si>
    <t>JAG000159 CERT.66473-25  Nível de bolha com 3bolhas  hor vert 45  300 mm24-COM PADRÃO</t>
  </si>
  <si>
    <t>JAG 000160</t>
  </si>
  <si>
    <t>JAG000160 CERT.66472-25  Nível de bolha com 3bolhas  hor vert 45  300 mm24-COM PADRÃO</t>
  </si>
  <si>
    <t>JAG 000161</t>
  </si>
  <si>
    <t>FAMASTIL</t>
  </si>
  <si>
    <t>JAG000161 CERT.66502-25  Nível de bolha com 2 bolhas 305 X 55 X 20 mm-COM PADRÃO</t>
  </si>
  <si>
    <t>JAG 000162</t>
  </si>
  <si>
    <t>JAG000162 CERT.66504-25  Nível de bolha com 2 bolhas 305 X 55 X 20 mm-COM PADRÃO</t>
  </si>
  <si>
    <t>JAG 000163</t>
  </si>
  <si>
    <t>JAG000163 CERT.66505-25  Nível de bolha com 2 bolhas 305 X 55 X 20 mm-COM PADRÃO</t>
  </si>
  <si>
    <t>JAG 000164</t>
  </si>
  <si>
    <t>JAG000164 CERT.66510-25  Nível de bolha com 2 bolhas 305 X 55 X 20 mm-COM PADRÃO</t>
  </si>
  <si>
    <t>JAG 000165</t>
  </si>
  <si>
    <t>JAG000165 CERT.66511-25  Nível de bolha com 2 bolhas 305 X 55 X 20 mm-COM PADRÃO</t>
  </si>
  <si>
    <t>JAG 000147</t>
  </si>
  <si>
    <t>Nível 3 Bolhas Aluminio Magnético 16"</t>
  </si>
  <si>
    <t>FAMASTIL 16"</t>
  </si>
  <si>
    <t>JAG000147 CERT.66515-25  Nível de bolha com 3bolhas  hor vert 400 x 55mm-COM PADRÃO</t>
  </si>
  <si>
    <t>JAG 000146</t>
  </si>
  <si>
    <t>Nível Alumínio 3 bolhas Magnético 12"</t>
  </si>
  <si>
    <t>STARRETT</t>
  </si>
  <si>
    <t>JAG000146 CERT.66514-25  Nível de bolha com 2 bolhas 305 X 55 X 20 mm-COM PADRÃO</t>
  </si>
  <si>
    <t>HBS 002577</t>
  </si>
  <si>
    <t>Trena Fita 20 Metros</t>
  </si>
  <si>
    <t>Starfer</t>
  </si>
  <si>
    <t>HBS002577 CERT.66516-25 Trena aço 0-20000x1,0mm-COM PADRÃO</t>
  </si>
  <si>
    <t>JAG 000143</t>
  </si>
  <si>
    <t>Trena Fita 3 Metros</t>
  </si>
  <si>
    <t>STARRET KTS12-3ME-S</t>
  </si>
  <si>
    <t>JAG000143 - CERT.66519-24 Trena DE AÇO  0-3000x 1,0mm-COM PADRÃO.</t>
  </si>
  <si>
    <t>JAG 000166</t>
  </si>
  <si>
    <t>LUFKIN</t>
  </si>
  <si>
    <t>JAG000166 - CERT.66471-24 Trena DE AÇO  0-3000x 1,0mm-COM PADRÃO</t>
  </si>
  <si>
    <t>HBS 003663</t>
  </si>
  <si>
    <t>Trena Fita 30 Metros</t>
  </si>
  <si>
    <t>STARRETT - TS510-30</t>
  </si>
  <si>
    <t>HBS003663 CERT.66522-25 TRENA AÇO 0-30000 x1,0mm-COM PADRÃO</t>
  </si>
  <si>
    <t>JAG 000139</t>
  </si>
  <si>
    <t>Trena Fita 5 Metros</t>
  </si>
  <si>
    <t xml:space="preserve">ROBUST </t>
  </si>
  <si>
    <t>JAG000139 - CERT.66520-24 TRENA DE AÇO  0-5000x 1,0mm-COM PADRÃO</t>
  </si>
  <si>
    <t>JAG 000140</t>
  </si>
  <si>
    <t>JAG000140 - CERT.66517-24 TRENA DE AÇO  0-5000x 1,0mm-COM PADRÃO</t>
  </si>
  <si>
    <t>JAG 000141</t>
  </si>
  <si>
    <t>JAG000141 - CERT.66518-24 TRENA DE AÇO  0-5000x 1,0mm-COM PADRÃO</t>
  </si>
  <si>
    <t>JAG 000142</t>
  </si>
  <si>
    <t>STARRET - KTS34-5ME-S</t>
  </si>
  <si>
    <t>JAG000142 - CERT.66521-24 TRENA DE AÇO  0-5000x 1,0mm-COM PADRÃO</t>
  </si>
  <si>
    <t>JAG 000167</t>
  </si>
  <si>
    <t>JAG000167 - CERT.66470-24 Trena DE AÇO  0-5000x 1,0mm-COM PADRÃO</t>
  </si>
  <si>
    <t>JAG 000168</t>
  </si>
  <si>
    <t>JAG000168 - CERT.66469-24 Trena DE AÇO  0-5000x 1,0mm-COM PADRÃO</t>
  </si>
  <si>
    <t>HBS 000980</t>
  </si>
  <si>
    <t>Nível Óptico 30 X - 0,2mm por Km duplo</t>
  </si>
  <si>
    <t>Wild Heerbrugg - N2</t>
  </si>
  <si>
    <t>658615</t>
  </si>
  <si>
    <t>HBS 000980 CERT. HZ-RT-509-25 - Nível Óptico 30 X - 0,2mm por Km duplo-COM PADRÃO</t>
  </si>
  <si>
    <t>HBS 003930</t>
  </si>
  <si>
    <t>Wild Heerbrugg</t>
  </si>
  <si>
    <t>201906</t>
  </si>
  <si>
    <t>HBS 003930 CERT. HZ-RT-510-25 - Nível Óptico 30 X - 0,2mm por Km duplo-COM PADRÃO</t>
  </si>
  <si>
    <t>HBS 003847</t>
  </si>
  <si>
    <t>Balança Digital 30 A 300 Kg  - 220V</t>
  </si>
  <si>
    <t>PRIX-TOLEDO-TI200</t>
  </si>
  <si>
    <t>HBS003847 CERT.63175-25  BALANÇA DIGITAL 300 Kg x 50 g-COM PADRÃO</t>
  </si>
  <si>
    <t>HBS 003827</t>
  </si>
  <si>
    <t>Medidor De Espessura De Camada de Tinta Úmida Tipo Pente 25 – 700 microns</t>
  </si>
  <si>
    <t>DEFELSKO-WS-1419</t>
  </si>
  <si>
    <t>HBS003827 CERT.2500176-25 MEDIDOR DE ESPESSURA DE CAMADA-COM PADRÃO</t>
  </si>
  <si>
    <t>HBS 003807</t>
  </si>
  <si>
    <t>KA425-6058176</t>
  </si>
  <si>
    <t>HBS 003806</t>
  </si>
  <si>
    <t>KA425-6058177</t>
  </si>
  <si>
    <t>HBS 003795</t>
  </si>
  <si>
    <t>Célula de Carga-Transmissão Sem Fio BD-2008-2.4 GHz-CAP-12,5T</t>
  </si>
  <si>
    <t>HFN-AG-12,5</t>
  </si>
  <si>
    <t>100595///2004220</t>
  </si>
  <si>
    <t>HBS003795 - CERT 10059510030 CELULA DE CARGA SEM FIO-COM PADRÃO</t>
  </si>
  <si>
    <t>JAG 000052</t>
  </si>
  <si>
    <t>Termo-Higrômetro Digital (-10°C a 50°C) (14°F a 122°F) (±1ºC e 5% UR) (10 ~ 99%)</t>
  </si>
  <si>
    <t>EXBOM-FEPRO-MUT600S</t>
  </si>
  <si>
    <t>TH-2611</t>
  </si>
  <si>
    <t>JAG 000053</t>
  </si>
  <si>
    <t>TH-2690</t>
  </si>
  <si>
    <t>JAG 000051</t>
  </si>
  <si>
    <t>Pirômetro -Termômetro Infravermelho A Laser Portatil -50°C a +600°C</t>
  </si>
  <si>
    <t>NJTY-T600</t>
  </si>
  <si>
    <t>DEBD53694</t>
  </si>
  <si>
    <t>JAG 000051 CERT. 25424-38 Pirômetro -Termômetro Infravermelho A Laser Portatil-COM PADRÃO</t>
  </si>
  <si>
    <t>JAG 000050</t>
  </si>
  <si>
    <t>Pirômetro -Termômetro Infravermelho A Laser Portatil -35°C a +800°C</t>
  </si>
  <si>
    <t>CEM - DT-8866-RS</t>
  </si>
  <si>
    <t>240604374</t>
  </si>
  <si>
    <t>JAG 000050 CERT.19582-4HI Pirômetro -Termômetro Infravermelho A Laser Portatil-COM PADRÃO</t>
  </si>
  <si>
    <t>HBS 003655</t>
  </si>
  <si>
    <t>Bw Gasalert Microclip Xl</t>
  </si>
  <si>
    <t>KA422-6029525</t>
  </si>
  <si>
    <t>HBS003655 CERT.10279 DETECTOR PORTÁTIL  DE GAS-COM PADRÃO</t>
  </si>
  <si>
    <t>HBS 003651</t>
  </si>
  <si>
    <t xml:space="preserve">Alicate Amperímetro Digital - 600V - CAT IV 1000V </t>
  </si>
  <si>
    <t>Minipa - ET-3367C</t>
  </si>
  <si>
    <t xml:space="preserve">  </t>
  </si>
  <si>
    <t>HBS 000587</t>
  </si>
  <si>
    <t>Manômetro Analógico 0 - 100 Psi - 0-7 Kgf/Cm2</t>
  </si>
  <si>
    <t>Salvi</t>
  </si>
  <si>
    <t>HBS 000701</t>
  </si>
  <si>
    <t>Manômetro Analógico 0 - 20 Bar</t>
  </si>
  <si>
    <t>HBS 000787</t>
  </si>
  <si>
    <t>Manômetro Analógico 0 - 2000Psi - 0-140kgf/cm2</t>
  </si>
  <si>
    <t>FAMABRAS</t>
  </si>
  <si>
    <t>HBS 000727</t>
  </si>
  <si>
    <t>Manômetro Analógico 0-100Ibf/pol2 - 0-16 Kgf/Cm2</t>
  </si>
  <si>
    <t>Winters</t>
  </si>
  <si>
    <t>HBS 000790</t>
  </si>
  <si>
    <t>Manômetro Analógico 0-1400Psi - 0-100kgf/cm2</t>
  </si>
  <si>
    <t>HBS 000723</t>
  </si>
  <si>
    <t>Manômetro Analógico 0-230Psi - 0-16 Kgf/Cm2</t>
  </si>
  <si>
    <t>HBS 000733</t>
  </si>
  <si>
    <t>Manômetro Analógico 0-25Mpa-bar</t>
  </si>
  <si>
    <t>HBS 000729</t>
  </si>
  <si>
    <t>Manômetro Analógico 0-300Ibf/pol2 - 0-16 Kgf/Cm2</t>
  </si>
  <si>
    <t>HBS 000730</t>
  </si>
  <si>
    <t>HBS 000577</t>
  </si>
  <si>
    <t>Manômetro Analógico 0-75 Psi - 0-5 Kgf/Cm2</t>
  </si>
  <si>
    <t>HBS 000579</t>
  </si>
  <si>
    <t>RECORD</t>
  </si>
  <si>
    <t>HBS 000582</t>
  </si>
  <si>
    <t>hbs 000787 - cert.64065-25  manometro analogico 0-700  x 5 bar</t>
  </si>
  <si>
    <t>hbs000727 cert.64253-25 manômetro analogico  0-7 x 0,1 kgf-cm²    -</t>
  </si>
  <si>
    <t>hbs 000790 63642-25 manômetro analógico 0-1400psi - 0-100kgf/cm2</t>
  </si>
  <si>
    <t>hbs000723 - cert.64250-25 manômetro analogico    0-16 x 0,5kgf -cm² mm</t>
  </si>
  <si>
    <t>hbs000733 cert.64254-25 manometro analógico  0-250 x 5bar</t>
  </si>
  <si>
    <t>hbs000729 cert.64252-25 manometro analógico  0-20 x 0,5 kgf</t>
  </si>
  <si>
    <t>hbs000730 cert.64249-25 manometro analógico  0-20 x 0,5 kgf</t>
  </si>
  <si>
    <t>hbs000577 cert.64246-25 manômetro analogico  0-5 x 0,2 kgf-cm²    -</t>
  </si>
  <si>
    <t>hbs 000579 - cert.64245-manômetro analógico 0-75 psi - 0-5 kgf/cm2</t>
  </si>
  <si>
    <t>hbs000582 cert.64244-25 manômetro analogico  0-5 x 0,2 kgf-cm²    -</t>
  </si>
  <si>
    <t>HBS 003791</t>
  </si>
  <si>
    <t>HBS003791CERT.64017-25 ALICATE AMPERIMETRO DIGITAL 1000A-COM PADRÃO</t>
  </si>
  <si>
    <t>HBS 003661</t>
  </si>
  <si>
    <t>HBS003661 CERT.62121-25 TRANSFERIDOR DE ANGULOS 0-180X1-COM PADRÃO</t>
  </si>
  <si>
    <t>HBS 003662</t>
  </si>
  <si>
    <t>HBS003662 CERT.62123-25 TRANSFERIDOR DE ANGULOS 0-180X1-COM PADRÃO</t>
  </si>
  <si>
    <t>HBS 003659</t>
  </si>
  <si>
    <t>HBS003659 CERT.62122-25 TRANSFERIDOR DE ANGULOS 0-180X1-COM PADRÃO</t>
  </si>
  <si>
    <t>HBS 003660</t>
  </si>
  <si>
    <t>HBS003660 CERT.62119-25 TRANSFERIDOR DE ANGULOS 0-180X1-COM PADRÃO</t>
  </si>
  <si>
    <t>HBS 003658</t>
  </si>
  <si>
    <t>HBS003658 CERT.62120-25 TRANSFERIDOR DE ANGULOS 0-180X1-COM PADRÃO</t>
  </si>
  <si>
    <t>HBS 003653</t>
  </si>
  <si>
    <t>Rugosimetro Digital Mostrador de 58 mm, Capacidade de medição 0 a 1000microns, Leitura 1 micron</t>
  </si>
  <si>
    <t xml:space="preserve">ELCOMETER - E123A-M                                                                                                                                                                                                                                            </t>
  </si>
  <si>
    <t>JKB924</t>
  </si>
  <si>
    <t>HBS003653 CERT.62208-25 MEDIDOR DE RUGOSIDADE COM RELOGIO 0-1 x 0,001mm-COM PADRÃO</t>
  </si>
  <si>
    <t>HBS 003652</t>
  </si>
  <si>
    <t>HBS003652 CERT.62194-25 ALICATE AMPERIMETRO DIGITAL 600V-COM PADRÃO</t>
  </si>
  <si>
    <t xml:space="preserve">HBS 003651 CERT. 62195-25 ALICATE AMPERIMETRO DIGITAL 600V </t>
  </si>
  <si>
    <t>JAG 000016</t>
  </si>
  <si>
    <t>Micrômetro Externo Arco Ferro Fundido Graduação 100-125mm</t>
  </si>
  <si>
    <t>140281767</t>
  </si>
  <si>
    <t>JAG000016 CERT.63155-25 MICROMETRO EXTERNO DIGITAL 100-125x 0,01mm-COM PADRÃO</t>
  </si>
  <si>
    <t>HBS 003545</t>
  </si>
  <si>
    <t>Micrômetro Interno 3 Pontas 30-35mm</t>
  </si>
  <si>
    <t>11069014</t>
  </si>
  <si>
    <t>HBS 003545 CERT. 2504002A MICRÔMETRO INTERNO 3 PONTAS 30-35 -COM PADRÃO</t>
  </si>
  <si>
    <t>HBS 003544</t>
  </si>
  <si>
    <t>Micrômetro Interno 3 Pontas 25-30mm</t>
  </si>
  <si>
    <t>11069013</t>
  </si>
  <si>
    <t>HBS 003544 CERT. 2504001A - MICRÔMETRO INTERNO 3 PONTAS 25-30MM-COM PADRÃO</t>
  </si>
  <si>
    <t>HBS 003543</t>
  </si>
  <si>
    <t>Micrômetro Interno 3 Pontas 50-60mm</t>
  </si>
  <si>
    <t>HBS 003543 CERT. 2504004A Micrômetro Interno 3 Pontas 50-60mm-COM PADRÃO</t>
  </si>
  <si>
    <t>HBS 003541</t>
  </si>
  <si>
    <t>Micrômetro Interno 3 Pontas 70-80mm</t>
  </si>
  <si>
    <t>03349031</t>
  </si>
  <si>
    <t>HBS 003541 CERT.2504006A Micrômetro Interno 3 Pontas 70-80mm-COM PADRÃO</t>
  </si>
  <si>
    <t>HBS 003540</t>
  </si>
  <si>
    <t>Micrômetro Interno 3 Pontas 60-70mm</t>
  </si>
  <si>
    <t>01347031</t>
  </si>
  <si>
    <t>HBS 003540 CERT.2504005A Micrômetro Interno 3 Pontas 60-70mm-COM PADRÃO</t>
  </si>
  <si>
    <t>HBS 003537</t>
  </si>
  <si>
    <t>Micrômetro Tubular Interno 50-1500mm 0,01mm</t>
  </si>
  <si>
    <t>1012872</t>
  </si>
  <si>
    <t>HBS003537 CERT.64072-25 Micrometro interno tubular 50-1500x0,01mm-COM PADRÃO</t>
  </si>
  <si>
    <t>HBS 003536</t>
  </si>
  <si>
    <t>7011723</t>
  </si>
  <si>
    <t>HBS003536 CERT.64073-25 Micrometro interno tubular 50-1500x0,01mm-COM PADRÃO</t>
  </si>
  <si>
    <t>HBS 003520</t>
  </si>
  <si>
    <t>Micrômetro De Profundidade 0-100 mm</t>
  </si>
  <si>
    <t>091138411</t>
  </si>
  <si>
    <t>HBS003520 CERT.64074-25 Micrometro profundidade  0-100x 0,01mm-COM PADRÃO</t>
  </si>
  <si>
    <t>HBS 000870</t>
  </si>
  <si>
    <t>Paquimetro Digital 150mm</t>
  </si>
  <si>
    <t>HBS000870 CERT.62866-25 Paquimetro digital 0-150x0,01mm-COM PADRÃO</t>
  </si>
  <si>
    <t>HBS 003183</t>
  </si>
  <si>
    <t>HBS003183 CERT.63149-25 Paquimetro digital 0-150x0,01mm-COM PADRÃO</t>
  </si>
  <si>
    <t>HBS 000556</t>
  </si>
  <si>
    <t>Torquimetro Analógico Enc. 1/2" 10-150 N.M.</t>
  </si>
  <si>
    <t>Waft - 6212</t>
  </si>
  <si>
    <t>HBS000556 - CERT.64284-25 Torquimetro de estalo 10-150 Nm-COM PADRÃO</t>
  </si>
  <si>
    <t>HBS 003148</t>
  </si>
  <si>
    <t>HBS 003148 CERT. 63148-25  BALANÇA DIGITAL 10000 Kg x 1 g-COM PADRÃO</t>
  </si>
  <si>
    <t>HBS 003147</t>
  </si>
  <si>
    <t>Bw Gasalert Microclipxl</t>
  </si>
  <si>
    <t>HBS003147 CERT.10279 Detector Portátil De Gás H2S 0-100 Ppm-COM PADRÃO</t>
  </si>
  <si>
    <t>HBS 003103</t>
  </si>
  <si>
    <t>INSTRUTHERM - HT-260</t>
  </si>
  <si>
    <t>180827349</t>
  </si>
  <si>
    <t>HBS003103 CERT.64070-25 TERMÔHIGROMETRO DIGITAL   -10°a 50ºC-COM PADRÃO</t>
  </si>
  <si>
    <t>HBS 001128</t>
  </si>
  <si>
    <t xml:space="preserve">Mira Invar de nivelamento 2 mts
</t>
  </si>
  <si>
    <t>HBS.001128 CERT.62446-25 Mira de aluminio - bolha nivelamento-COM PADRÃO</t>
  </si>
  <si>
    <t>HBS 002853</t>
  </si>
  <si>
    <t>HBS002853 CERT.63429-25 TERMÔHIGROMETRO DIGITAL   -10°a 50ºC-COM PADRÃO</t>
  </si>
  <si>
    <t>HBS 000604</t>
  </si>
  <si>
    <t>Micrômetro Interno 3 Pontas 35-40mm</t>
  </si>
  <si>
    <t>4310</t>
  </si>
  <si>
    <t>HBS 000604 Cert.2504003A Micrômetro Interno 3 Pontas 35-40mm-COM PADRÃO</t>
  </si>
  <si>
    <t>HBS 001126</t>
  </si>
  <si>
    <t>Kingtools</t>
  </si>
  <si>
    <t>HBS001126 CERT.61777-24 TRANSFERIDOR DE ANGULOS 0-180X1-COM PADRÃO</t>
  </si>
  <si>
    <t>HBS 000654</t>
  </si>
  <si>
    <t>Terrômetro Digital 0.01 Ohm, 0.1 Ohm, 1 Ohm - Faixa: 40 Ohm, 400 Ohm, 4000 Ohm; - Precisão: ± (2.0%+20D) para faixa de 40 Ohm; - Precisão: ± (2.0%+3D) para demais faixas;</t>
  </si>
  <si>
    <t>ID04000000655M</t>
  </si>
  <si>
    <t>hbs 000654 20250157</t>
  </si>
  <si>
    <t>HBS 000653</t>
  </si>
  <si>
    <t>Terrômetro Digital 25 Khz - 0 - 300 Ω</t>
  </si>
  <si>
    <t>Megabrás</t>
  </si>
  <si>
    <t>Og7187L</t>
  </si>
  <si>
    <t>hbs 000653 20250157</t>
  </si>
  <si>
    <t>HBS 000862</t>
  </si>
  <si>
    <t>Escala De Aço 1000mm</t>
  </si>
  <si>
    <t>Vonder</t>
  </si>
  <si>
    <t>hbs 000862 62255_25</t>
  </si>
  <si>
    <t>HBS 000850</t>
  </si>
  <si>
    <t>Escala De Aço 1500mm</t>
  </si>
  <si>
    <t>KingTools</t>
  </si>
  <si>
    <t>hbs 000850 62253_2025</t>
  </si>
  <si>
    <t>HBS 000806</t>
  </si>
  <si>
    <t>Escala De Aço 2000mm</t>
  </si>
  <si>
    <t>hbs 000806 64535-25</t>
  </si>
  <si>
    <t>HBS 002365</t>
  </si>
  <si>
    <t>Escala De Aço 2030mm</t>
  </si>
  <si>
    <t>hbs002365 cert.62252-25</t>
  </si>
  <si>
    <t>HBS 000835</t>
  </si>
  <si>
    <t>Escala De Aço 300mm</t>
  </si>
  <si>
    <t>hbs 000835 62250_2025</t>
  </si>
  <si>
    <t>HBS 000846</t>
  </si>
  <si>
    <t>Stainless Steel</t>
  </si>
  <si>
    <t>hbs0000846 cert.62249-25</t>
  </si>
  <si>
    <t>HBS 002358</t>
  </si>
  <si>
    <t>hbs 002358 64637_2025</t>
  </si>
  <si>
    <t>HBS 000816</t>
  </si>
  <si>
    <t>Brasfort</t>
  </si>
  <si>
    <t>hbs 000816 64539_2025</t>
  </si>
  <si>
    <t>HBS 001959</t>
  </si>
  <si>
    <t>Medidor De Espessura De Camada Faixa De Espessura: 0 ~ 80Mils / 0 ~ 2000Μm - Precisão: ±0.4Mils Para A Faixa De 0 ~ 7.8Mils. ±7Μm Para A Faixa De 0 ~ 199Μm ±(3% Leitura + 4D) Para A Faixa De 7.9 ~ 40Mils (200Μm ~1000Μm).</t>
  </si>
  <si>
    <t>Minipa - MCT-401</t>
  </si>
  <si>
    <t>619737</t>
  </si>
  <si>
    <t>hbs 001959 62293_2025</t>
  </si>
  <si>
    <t>HBS 000611</t>
  </si>
  <si>
    <t>Micrômetro De Profundidade 0-150 mm</t>
  </si>
  <si>
    <t>90576175</t>
  </si>
  <si>
    <t>hbs 000611 cert 63947-25 micrometro profundidade  0-150x 0,01mm</t>
  </si>
  <si>
    <t>HBS 002339</t>
  </si>
  <si>
    <t>Paquimetro Analógico 300 mm - 0,05mm</t>
  </si>
  <si>
    <t>10175025</t>
  </si>
  <si>
    <t>hbs 002339 63152_25</t>
  </si>
  <si>
    <t>HBS 000876</t>
  </si>
  <si>
    <t>Shan - H-52074</t>
  </si>
  <si>
    <t>hbs 000876 62867_2025</t>
  </si>
  <si>
    <t>HBS 003434</t>
  </si>
  <si>
    <t>TORQUIMETRO ESTALO 3/4 - 70-350NM</t>
  </si>
  <si>
    <t>NOLL</t>
  </si>
  <si>
    <t>HBS 003794</t>
  </si>
  <si>
    <t>141051</t>
  </si>
  <si>
    <t>HBS 003703</t>
  </si>
  <si>
    <t>Megômetro Digital 200Mω 200Gω 5 Kv</t>
  </si>
  <si>
    <t>0708268</t>
  </si>
  <si>
    <t>HBS 003702</t>
  </si>
  <si>
    <t>0708259</t>
  </si>
  <si>
    <t xml:space="preserve">HBS 003656 </t>
  </si>
  <si>
    <t>Escala De Aço 600mm</t>
  </si>
  <si>
    <t>HBS 003654</t>
  </si>
  <si>
    <t>Escala De Aço 150mm</t>
  </si>
  <si>
    <t>HBS 003650</t>
  </si>
  <si>
    <t>HBS 002973</t>
  </si>
  <si>
    <t>Escala De Aço 1000Mm</t>
  </si>
  <si>
    <t>HBS 002273</t>
  </si>
  <si>
    <t>Escala De Aço 500mm</t>
  </si>
  <si>
    <t>HBS 002963</t>
  </si>
  <si>
    <t>HBS 000801</t>
  </si>
  <si>
    <t>HBS 000803</t>
  </si>
  <si>
    <t>Tajima</t>
  </si>
  <si>
    <t>HBS 000812</t>
  </si>
  <si>
    <t>HBS 000845</t>
  </si>
  <si>
    <t xml:space="preserve">JAG_000052_Certificado 1063 TH-2611-COM PADRÃO </t>
  </si>
  <si>
    <t>JAG_000053_Certificado 1062 TH-2690-COM PADRÃO</t>
  </si>
  <si>
    <t>HBS CERT 003807 06649_2025</t>
  </si>
  <si>
    <t>HBS 003806 CERT 06650_2025</t>
  </si>
  <si>
    <t>JAG-000119 CERT.65701-25 Trena à Laser 50m x 0,01mm-COM PADRÃO.pdf</t>
  </si>
  <si>
    <t>JAG-000116 CERT.65700-25 Trena à Laser 30m x 0,01mm - COM PADRÃO.pdf</t>
  </si>
  <si>
    <t>HBS003917 - CERT.65467-25 Nível Nível de precisão 200 x 0,02 mm - COM PADRÃO.pdf</t>
  </si>
  <si>
    <t>HBS.003913 CERT.65416-25 Balança digital 30 Kg x10 g - COM PADRÃO.pdf</t>
  </si>
  <si>
    <t>HBS003914 CERT.65429-25 Balança digital 30 Kg x10 g - COM PADRÃO.pdf</t>
  </si>
  <si>
    <t>HBS003912 CERT.65447-25 TERMÔHIGROMETRO DIGITAL - COM PADRÃO.pdf</t>
  </si>
  <si>
    <t>HBS003911 CERT.65448-25 TERMÔHIGROMETRO DIGITAL - COM PADRÃO.pdf</t>
  </si>
  <si>
    <t>HBS003888 - CERT.65079-25 Torquimetro de estalo 750-2000 Nm COM PADRÃO.pdf</t>
  </si>
  <si>
    <t>HBS003885 CERT.65177-25 TERMÔHIGROMETRO DIGITAL COM PADRÃO.pdf</t>
  </si>
  <si>
    <t>HBS003884 CERT.65178-25 TERMÔHIGROMETRO DIGITAL COM PADRÃO</t>
  </si>
  <si>
    <t>HBS003862 CERT.65175-25 Paquimetro Universal  0-150x0,02mm-COM PADRÃO</t>
  </si>
  <si>
    <t>HBS003434 CERT.66523-25  Torquimetro de estalo 70-350Nm - COM PADRÃO</t>
  </si>
  <si>
    <t>HBS003794 CERT.64064-25 MANÔMETRO ANALOGICO  0-280 x 5 kgf</t>
  </si>
  <si>
    <t>CERT 41699 - MEGOMETRO 1 KV - HBS 003703</t>
  </si>
  <si>
    <t>CERT 41700 - MEGOMETRO 1 KV - HBS 003702</t>
  </si>
  <si>
    <t>HBS 003656 62245-25</t>
  </si>
  <si>
    <t>HBS 003654 62247_2025</t>
  </si>
  <si>
    <t>HBS003650 CERT62247-25 Escala  de aço graduada  0-150 x 0,5 mm</t>
  </si>
  <si>
    <t>HBS 002973 62254_2025</t>
  </si>
  <si>
    <t>HBS002273 CERT62246-25  Escala de aço graduada   0-500x1,0mm</t>
  </si>
  <si>
    <t>HBS002963 CERT.64534-25  ESCALA DE AÇO GRADUADA 0-1500x1,0mm</t>
  </si>
  <si>
    <t>HBS000801 CERT. 64533-25   ESCALA DE AÇO GRADUADA0-2000x1,0mm</t>
  </si>
  <si>
    <t>HBS 000803 02251_2025</t>
  </si>
  <si>
    <t>HBS 000812 64536_2025</t>
  </si>
  <si>
    <t>HBS 000845 64338_2025</t>
  </si>
  <si>
    <t>HBS000587 CERT.64247-25 MANÔMETRO ANALOGICO  0-7 x 0,1 kgf-cm²    -</t>
  </si>
  <si>
    <t>HBS000701 CERT.64248-25 MANOMETRO ANALÓGICO  0-20 x 0,2 BAR</t>
  </si>
  <si>
    <t>HBS 000656</t>
  </si>
  <si>
    <t>Decibelimetro L=35~100Db</t>
  </si>
  <si>
    <t>Impac</t>
  </si>
  <si>
    <t>7095327</t>
  </si>
  <si>
    <t>HBS 000658</t>
  </si>
  <si>
    <t>Detector De Tensão 30 V ac → 1500 V ac - 1500 V ac → 122.000 V ac (com Hot Vara TIC 410A)</t>
  </si>
  <si>
    <t>Amprobe</t>
  </si>
  <si>
    <t>181000318</t>
  </si>
  <si>
    <t>HBS 003003</t>
  </si>
  <si>
    <t>Manômetro Analógico 0-14kg/cm2 0-200Psi</t>
  </si>
  <si>
    <t>Nuova Fima</t>
  </si>
  <si>
    <t>HBS 000637</t>
  </si>
  <si>
    <t>Instrutherm - ME-240</t>
  </si>
  <si>
    <t>621736</t>
  </si>
  <si>
    <t>HBS 001004</t>
  </si>
  <si>
    <t>Medidor De Espessura De Camada Úmida Tipo Pente 25 ~ 3000 Microns - 25Μm</t>
  </si>
  <si>
    <t>Instrutherm</t>
  </si>
  <si>
    <t>16100000000000</t>
  </si>
  <si>
    <t>HBS 000289</t>
  </si>
  <si>
    <t>Micrômetro Externo Análogico 225 - 250Mm - 0,01Mm</t>
  </si>
  <si>
    <t>70808768</t>
  </si>
  <si>
    <t>Micrômetro Externo Análogico 250 - 275Mm - 0,01Mm</t>
  </si>
  <si>
    <t>70843014</t>
  </si>
  <si>
    <t>Micrômetro Externo Análogico 275 - 300Mm - 0,01Mm</t>
  </si>
  <si>
    <t>70808693</t>
  </si>
  <si>
    <t>HBS 003848</t>
  </si>
  <si>
    <t>Estufa para consumíveis 200Kg - 400 °C-220-TRIFÁSICO-60hz-CAPACICADE 75 KG</t>
  </si>
  <si>
    <t>INFINIT-FS75-DIGITAL</t>
  </si>
  <si>
    <t>14037</t>
  </si>
  <si>
    <t>HBS 000797</t>
  </si>
  <si>
    <t>Termômetro Analógico 0 - 650C°</t>
  </si>
  <si>
    <t>Asta</t>
  </si>
  <si>
    <t>hbs000656 cert.10123 decibelimetro l=35~100db-com padrão</t>
  </si>
  <si>
    <t>hbs-000658 cert. 39560 detector de tensão 30 v ac → 1500 v ac - 1500 v ac → 122.000 v ac (com hot vara tic 410a)-com padrão</t>
  </si>
  <si>
    <t>hbs003003 cert.64062-25 manômetro analogico   0-14 x 0,2 kgf -cm²-com padrão.</t>
  </si>
  <si>
    <t>hbs000637 cert.62294-24 medidor de espessura de camadas (ferroso) 0-1000 -com padrão</t>
  </si>
  <si>
    <t>hbs001004 cert. 61782-24 calibrador de espessura tinta umida(wet film comb) 25-3000-com padrão</t>
  </si>
  <si>
    <t>hbs000289  cert.62135-25 micrometro externo   225-250x0,01mm-com padrão</t>
  </si>
  <si>
    <t>hbs000289  cert.62136-25  micrometro externo   250-275x0,01mm-com padrão</t>
  </si>
  <si>
    <t>hbs000289  cert.62137-25  micrometro externo   275-300x0,01mm-com padrão</t>
  </si>
  <si>
    <t>20250373/ct-012 - hbs003848</t>
  </si>
  <si>
    <t>hbs000797 cert.61796-24 termômetro bi metálico  0º  a 650°-com padrão</t>
  </si>
  <si>
    <t>HBS 002329</t>
  </si>
  <si>
    <t>Rugosimetro Digital / Impressora Ta230 0,25 - 0,8 - 2,5mm E 0.01 - 0.03- 0.1” - 1 A 5 Cut-Off + 2 (Máximo 17,5mm)</t>
  </si>
  <si>
    <t>7668000002</t>
  </si>
  <si>
    <t>HBS 002303</t>
  </si>
  <si>
    <t>Rugosimetro Digital 0,05 A 10 Μm</t>
  </si>
  <si>
    <t>Time</t>
  </si>
  <si>
    <t>HBS 002178</t>
  </si>
  <si>
    <t>MEDTEC - MED321A</t>
  </si>
  <si>
    <t>4101984</t>
  </si>
  <si>
    <t>HBS 001590</t>
  </si>
  <si>
    <t>Minipa - MT-242A</t>
  </si>
  <si>
    <t>hbs002329 - 0009-25-03</t>
  </si>
  <si>
    <t>hbs002303 - 0009-25-02</t>
  </si>
  <si>
    <t>hbs 002178 - cert.62207-25 medidor de rugosidade com relogio 0-1 x 0,001mm</t>
  </si>
  <si>
    <t>hbs001590 cert.62295-25</t>
  </si>
  <si>
    <t>hbs000797 cert.61796-24</t>
  </si>
  <si>
    <t>HBS 002073</t>
  </si>
  <si>
    <t>Torquimetro Analógico de Estalo Enc. 1/2" 20-200 N.M.</t>
  </si>
  <si>
    <t>Gedore - Torcoflex 3550-20 Torcoflex 3550-20</t>
  </si>
  <si>
    <t>E046078</t>
  </si>
  <si>
    <t>hbs002073 cert.64287-25 torquímetro de estalo 20-200n.m</t>
  </si>
  <si>
    <t>HBS 000287</t>
  </si>
  <si>
    <t>Micrômetro Externo Análogico 300 - 400mm - 0,01mm</t>
  </si>
  <si>
    <t>Digimess - 110.223</t>
  </si>
  <si>
    <t>130698182</t>
  </si>
  <si>
    <t>Micrômetro Externo Análogico 0 - 25Mm - 0,01Mm</t>
  </si>
  <si>
    <t>70849013</t>
  </si>
  <si>
    <t>Micrômetro Externo Análogico 100 - 125Mm - 0,01Mm</t>
  </si>
  <si>
    <t>70772457</t>
  </si>
  <si>
    <t>Micrômetro Externo Análogico 125 - 150Mm - 0,01Mm</t>
  </si>
  <si>
    <t>70838825</t>
  </si>
  <si>
    <t>Micrômetro Externo Análogico 150 - 175Mm - 0,01Mm</t>
  </si>
  <si>
    <t>70807005</t>
  </si>
  <si>
    <t>Micrômetro Externo Análogico 175 - 200Mm - 0,01Mm</t>
  </si>
  <si>
    <t>70836971</t>
  </si>
  <si>
    <t>Micrômetro Externo Análogico 200 - 225Mm - 0,01Mm</t>
  </si>
  <si>
    <t>70808729</t>
  </si>
  <si>
    <t>Micrômetro Externo Análogico 25 - 50Mm - 0,01Mm</t>
  </si>
  <si>
    <t>70834788</t>
  </si>
  <si>
    <t>Micrômetro Externo Análogico 50 - 75Mm - 0,01Mm</t>
  </si>
  <si>
    <t>70834469</t>
  </si>
  <si>
    <t>Micrômetro Externo Análogico 75 - 100Mm - 0,01Mm</t>
  </si>
  <si>
    <t>70961058</t>
  </si>
  <si>
    <t>HBS 000868</t>
  </si>
  <si>
    <t>HBS 000871</t>
  </si>
  <si>
    <t>Paquimetro Digital 200mm</t>
  </si>
  <si>
    <t>Digimess - 100.176Bl</t>
  </si>
  <si>
    <t>HBS 000875</t>
  </si>
  <si>
    <t>HBS 000889</t>
  </si>
  <si>
    <t>Htom</t>
  </si>
  <si>
    <t>HBS 000908</t>
  </si>
  <si>
    <t>8819329</t>
  </si>
  <si>
    <t>HBS 001411</t>
  </si>
  <si>
    <t>Régua De Fio (Régua De Luz) 500 mm</t>
  </si>
  <si>
    <t>HBS 001416</t>
  </si>
  <si>
    <t>4005393</t>
  </si>
  <si>
    <t>HBS 001891</t>
  </si>
  <si>
    <t>Torquimetro Analógico de Estalo ENC. 14 X 18 MM - 80 A 400 NM (60-300 LBF.PÉ)</t>
  </si>
  <si>
    <t>B192036</t>
  </si>
  <si>
    <t>HBS 001895</t>
  </si>
  <si>
    <t>1A18183</t>
  </si>
  <si>
    <t>HBS 002077</t>
  </si>
  <si>
    <t>Torquimetro Analógico Enc. 1/2" 20-200 N.M.</t>
  </si>
  <si>
    <t>Toptul</t>
  </si>
  <si>
    <t>HBS 002102</t>
  </si>
  <si>
    <t>3915171</t>
  </si>
  <si>
    <t>HBS 002211</t>
  </si>
  <si>
    <t>Paquimetro Analógico 300 mm - 0,02mm</t>
  </si>
  <si>
    <t>Digimess - 100042</t>
  </si>
  <si>
    <t>HBS 002336</t>
  </si>
  <si>
    <t>Torquimetro Analógico de Estalo Enc. 1/4" 1-25 N.M.</t>
  </si>
  <si>
    <t>KSTOOLS</t>
  </si>
  <si>
    <t>HBS 002490</t>
  </si>
  <si>
    <t>KBD</t>
  </si>
  <si>
    <t>HBS 002491</t>
  </si>
  <si>
    <t>20140118</t>
  </si>
  <si>
    <t>HBS 003856</t>
  </si>
  <si>
    <t>B734786</t>
  </si>
  <si>
    <t>hbs000287 micrometro externo 300 a 400mm cert 2505002a-com padrão</t>
  </si>
  <si>
    <t>hbs000289 - cert.62138-25 micrometro externo 25 mm-com padrão</t>
  </si>
  <si>
    <t>hbs 000289 cert.62130-25 micrometro externo 100-125x0,01mm-com padrão</t>
  </si>
  <si>
    <t>hbs 000289 cert. 62131-25 micrometro externo 125-150x0,01mm-com padrão</t>
  </si>
  <si>
    <t>hbs000289 cert.62132-25  micrometro externo 150-175x0,01mm-com padrão</t>
  </si>
  <si>
    <t>hbs000289 cert.62133-25  micrometro externo 175-200x0,01mm-com padrão</t>
  </si>
  <si>
    <t>hbs 000289 cert.62134-25  micrometro externo 200-225x0,01mm-com padrão</t>
  </si>
  <si>
    <t>hbs000289 - cert.62149-25 barra padrao micrometro externo 50 mm-com padrão</t>
  </si>
  <si>
    <t>hbs000289 - cert.62139-25 micrometro externo 50 mm-com padrão</t>
  </si>
  <si>
    <t>hbs000289 - cert.62140-25 micrometro externo 75 mm-com padrão</t>
  </si>
  <si>
    <t>hbs000868 cert.63151-25 paquimetro digital 0-150x0,01mm-com padrão</t>
  </si>
  <si>
    <t>hbs000871 cert.62868-25 paquimetro digital 0-200x0,01mm-com padrão.</t>
  </si>
  <si>
    <t>hbs000875 cert.63150-25 paquimetro digital 0-200x0,01mm-com padrão</t>
  </si>
  <si>
    <t>hbs000889 - cert.65182-25 paquimetro universal  0-300x0,05mm-com padrão</t>
  </si>
  <si>
    <t>hbs000908 - cert.63167-25 relogio comparador 0-10x0,01mm-com padrão</t>
  </si>
  <si>
    <t>hbs001411 cert.65699-25 regua de fio  500 mm-com padrão</t>
  </si>
  <si>
    <t>hbs001416 cert.adh0042025 torquimetro analógico de estalo enc. 1 750-2000 n.m-com padrão</t>
  </si>
  <si>
    <t>hbs001891 - cert.64050-25 torquimetro de estalo 80-400 nm-com padrão</t>
  </si>
  <si>
    <t>hbs001895 - cert.60471-24 relogio comparador 0-10x0,01mm-com padrão</t>
  </si>
  <si>
    <t>hbs002077 - cert.64286-25 torquimetro de estalo 20-200 nm-com padrão.</t>
  </si>
  <si>
    <t>hbs002102 cert.63168-25 relogio comparador 0-10x0,01mm-com padrão</t>
  </si>
  <si>
    <t>hbs002211 cert. 64071-25 paquimetro universal  0-300x0,05mm-com padrão</t>
  </si>
  <si>
    <t>hbs002336 cert.64283-25  torquimetro de estalo 1-25 nm-com padrão</t>
  </si>
  <si>
    <t>hsb002490 .cert adh0012025 torquimetro analógico de estalo enc. 1 750-2000 n.m.c-com padrão</t>
  </si>
  <si>
    <t>hbs002491 cert adh0022025 torquimetro analógico de estalo enc. 1 750-2000 n.m-com padrão</t>
  </si>
  <si>
    <t>hbs 003856 cert.63163-25 relogio comparador 0-10x0,01mm-com padrão</t>
  </si>
  <si>
    <t>hbs003888 - cert.65079-25  torquimetro de estalo 750-2000 nm-com padrão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</si>
  <si>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</si>
  <si>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</si>
  <si>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</si>
  <si>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</si>
  <si>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</si>
  <si>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</si>
  <si>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</si>
  <si>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</si>
  <si>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</si>
  <si>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</si>
  <si>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</si>
  <si>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https://drive.google.com/file/d/1b6TfEIJz7BbB8nyr-M4QQSfkMPjIYEHJ/view?usp=drive_link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</si>
  <si>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</si>
  <si>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</si>
  <si>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</si>
  <si>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</si>
  <si>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</si>
  <si>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</si>
  <si>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</si>
  <si>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</si>
  <si>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</si>
  <si>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</si>
  <si>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</si>
  <si>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</si>
  <si>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</si>
  <si>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</si>
  <si>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</si>
  <si>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</si>
  <si>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</si>
  <si>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</si>
  <si>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</si>
  <si>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</si>
  <si>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</si>
  <si>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</si>
  <si>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</si>
  <si>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</si>
  <si>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</si>
  <si>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</si>
  <si>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</si>
  <si>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</si>
  <si>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</si>
  <si>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</si>
  <si>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</si>
  <si>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</si>
  <si>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</si>
  <si>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</si>
  <si>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</si>
  <si>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</si>
  <si>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</si>
  <si>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</si>
  <si>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</si>
  <si>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</si>
  <si>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</si>
  <si>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</si>
  <si>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</si>
  <si>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</si>
  <si>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</si>
  <si>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</si>
  <si>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</si>
  <si>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</si>
  <si>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</si>
  <si>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</si>
  <si>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</si>
  <si>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</si>
  <si>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</si>
  <si>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</si>
  <si>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</si>
  <si>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</si>
  <si>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</si>
  <si>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https://drive.google.com/file/d/1TZP56ggzgfGVvU_xe44L4EY_q1-E4Cob/view?usp=drive_link</t>
  </si>
  <si>
    <t>https://drive.google.com/file/d/1RYuip9el_i1gUG0gQn8uBz1Its_NDLId/view?usp=drive_link</t>
  </si>
  <si>
    <t>https://drive.google.com/file/d/1ST4m6g7G5RUIQJQGFd2si5UeH9lOVB1M/view?usp=drive_link</t>
  </si>
  <si>
    <t>https://drive.google.com/file/d/1f-Bhl0_D7kNl2HBpI4Ly1IiBdpPC4uYr/view?usp=drive_link</t>
  </si>
  <si>
    <t>https://drive.google.com/file/d/1_0jSmg8MRFPhdYMynxlvQ8IvRBrl_IZe/view?usp=drive_link</t>
  </si>
  <si>
    <t>https://drive.google.com/file/d/1zNbBWzmWimNsCxHPmooued2Ljt8Y6pcy/view?usp=drive_link</t>
  </si>
  <si>
    <t>https://drive.google.com/file/d/1P-bLW9jUcI68bAJnxLXIVucI4jwIckhu/view?usp=drive_link</t>
  </si>
  <si>
    <t>https://drive.google.com/file/d/1lggfIZtWIU58MW5zF4hlffFAhNt0JB9J/view?usp=drive_link</t>
  </si>
  <si>
    <t>https://drive.google.com/file/d/1Lbv5WtHyIzbDN2KNoKqeWn5vI5JhipiB/view?usp=drive_link</t>
  </si>
  <si>
    <t>https://drive.google.com/file/d/1sIrQ6a5W4cfb2UnEruGQZN5gF4gTISza/view?usp=drive_link</t>
  </si>
  <si>
    <t>https://drive.google.com/file/d/1Zz_is68Cu72eAi8IDhpne-fIjxr0ptCw/view?usp=drive_link</t>
  </si>
  <si>
    <t>https://drive.google.com/file/d/13CQekC2IhUXLvy6XEAU98NkdiImMxgPT/view?usp=drive_link</t>
  </si>
  <si>
    <t>https://drive.google.com/file/d/14cgdDQMrdRWkC-nuF1qeZwrsf6zpXuBI/view?usp=drive_link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</si>
  <si>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</si>
  <si>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</si>
  <si>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</si>
  <si>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</si>
  <si>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</si>
  <si>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</si>
  <si>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</si>
  <si>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</si>
  <si>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</si>
  <si>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</si>
  <si>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</si>
  <si>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</si>
  <si>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</si>
  <si>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</si>
  <si>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</si>
  <si>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</si>
  <si>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</si>
  <si>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</si>
  <si>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</si>
  <si>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</si>
  <si>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</si>
  <si>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</si>
  <si>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</si>
  <si>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</si>
  <si>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</si>
  <si>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</si>
  <si>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</si>
  <si>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</si>
  <si>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</si>
  <si>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</si>
  <si>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</si>
  <si>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</si>
  <si>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</si>
  <si>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</si>
  <si>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</si>
  <si>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</si>
  <si>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</si>
  <si>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</si>
  <si>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</si>
  <si>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</si>
  <si>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</si>
  <si>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</si>
  <si>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</si>
  <si>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</si>
  <si>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</si>
  <si>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</si>
  <si>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</si>
  <si>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</si>
  <si>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</si>
  <si>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</si>
  <si>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</si>
  <si>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</si>
  <si>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</si>
  <si>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</si>
  <si>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</si>
  <si>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</si>
  <si>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</si>
  <si>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</si>
  <si>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</si>
  <si>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</si>
  <si>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</si>
  <si>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</si>
  <si>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</si>
  <si>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</si>
  <si>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</si>
  <si>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</si>
  <si>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</si>
  <si>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</si>
  <si>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</si>
  <si>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</si>
  <si>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</si>
  <si>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</si>
  <si>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</si>
  <si>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</si>
  <si>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</si>
  <si>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</si>
  <si>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</si>
  <si>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</si>
  <si>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</si>
  <si>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</si>
  <si>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</si>
  <si>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</si>
  <si>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https://drive.google.com/file/d/1EI4-wiCpArUrKsINzbvWxepWzpdqy9oN/view?usp=drive_link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</si>
  <si>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</si>
  <si>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</si>
  <si>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</si>
  <si>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</si>
  <si>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</si>
  <si>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</si>
  <si>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</si>
  <si>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</si>
  <si>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</si>
  <si>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https://drive.google.com/file/d/1htgFy4HYmgyJdrzCv8UPwuPktadA0XU9/view?usp=drive_link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</si>
  <si>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</si>
  <si>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</si>
  <si>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</si>
  <si>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</si>
  <si>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</si>
  <si>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</si>
  <si>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</si>
  <si>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</si>
  <si>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</si>
  <si>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</si>
  <si>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</si>
  <si>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</si>
  <si>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</si>
  <si>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</si>
  <si>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</si>
  <si>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</si>
  <si>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</si>
  <si>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</si>
  <si>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</si>
  <si>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</si>
  <si>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</si>
  <si>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</si>
  <si>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</si>
  <si>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</si>
  <si>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</si>
  <si>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</si>
  <si>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</si>
  <si>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https://drive.google.com/file/d/1uJ540-I6v7_Y9GrykHiQD9D5rnx8-4Gs/view?usp=drive_link</t>
  </si>
  <si>
    <t>ImagemLink</t>
  </si>
  <si>
    <t>HBS002298</t>
  </si>
  <si>
    <t>HBS002298 - CERT.65698-25 RELOGIO  COMPARADOR  0-10x0,01mm-COM PADRÃO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</si>
  <si>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</si>
  <si>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</si>
  <si>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</si>
  <si>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</si>
  <si>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</si>
  <si>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</si>
  <si>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</si>
  <si>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</si>
  <si>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</si>
  <si>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</si>
  <si>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</si>
  <si>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</si>
  <si>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</si>
  <si>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</si>
  <si>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</si>
  <si>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</si>
  <si>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https://encrypted-tbn0.gstatic.com/images?q=tbn:ANd9GcRoWbfRU7U4syUBu5wzhjyNwzpO7qyTL9hKoA&amp;s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</si>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</sst>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8"/>
        <color theme="1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ndritz-my.sharepoint.com/personal/daniel_albuquerque_andritz_com/Documents/PMJA-CERTIFICADOS/janderson.xlsx" TargetMode="External"/><Relationship Id="rId1" Type="http://schemas.openxmlformats.org/officeDocument/2006/relationships/externalLinkPath" Target="https://andritz-my.sharepoint.com/personal/daniel_albuquerque_andritz_com/Documents/PMJA-CERTIFICADOS/janders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"/>
      <sheetName val="janderson"/>
    </sheet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L204" totalsRowShown="0" headerRowDxfId="14" dataDxfId="13" tableBorderDxfId="12">
  <autoFilter ref="A1:L204" xr:uid="{914AFED5-0A41-4DF1-85F8-0E539BCD8F88}"/>
  <tableColumns count="12">
    <tableColumn id="1" xr3:uid="{BCA60223-C1EA-440D-A599-8D6B3DB97A4D}" name="Item" dataDxfId="11"/>
    <tableColumn id="2" xr3:uid="{A0C43500-5517-4F70-A20D-E954C3FA52A8}" name="Toolbox No / Container No" dataDxfId="10"/>
    <tableColumn id="3" xr3:uid="{1EBDA6DF-6D07-4876-89CB-90AFB6D0E409}" name="Descrição adicional" dataDxfId="9"/>
    <tableColumn id="4" xr3:uid="{4ABDA494-E9AB-40AF-A55A-5838981BCA25}" name="Manufacturer" dataDxfId="8"/>
    <tableColumn id="5" xr3:uid="{30173439-422D-497F-8D82-E79FD5CE4AE8}" name="N.º de série" dataDxfId="7"/>
    <tableColumn id="7" xr3:uid="{3215F4DE-F9CD-4557-B7A9-B6B0D1589768}" name="Certificate Number / Calibration Number" dataDxfId="6" dataCellStyle="Hiperlink"/>
    <tableColumn id="8" xr3:uid="{4E68A16B-DD84-40D3-A5C2-EBD81F1A665F}" name="Data da calibração/certificação " dataDxfId="5"/>
    <tableColumn id="9" xr3:uid="{DEAD498C-5E67-49A0-836A-CDE806CE450A}" name="Próxima data de calibração/certificação" dataDxfId="4">
      <calculatedColumnFormula>EDATE(Tabela1[[#This Row],[Data da calibração/certificação ]],12)</calculatedColumnFormula>
    </tableColumn>
    <tableColumn id="10" xr3:uid="{9A18D4E2-FC0A-449D-AF47-1E61137BC98D}" name="Dias até próxima calibração/certificação" dataDxfId="3">
      <calculatedColumnFormula>INT(Tabela1[[#This Row],[Próxima data de calibração/certificação]]-TODAY())</calculatedColumnFormula>
    </tableColumn>
    <tableColumn id="11" xr3:uid="{637B2AB3-9458-48AB-B7AB-7664D0FCE6CE}" name="Projeto atual" dataDxfId="2"/>
    <tableColumn id="14" xr3:uid="{2955D6B7-2B72-448C-8490-E7C9FB3AD019}" name="ImagemLink" dataDxfId="0"/>
    <tableColumn id="6" xr3:uid="{6440557D-4306-47A7-B09B-F02A2CA82697}" name="Link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coRLo6Xw8CaogXqqdB4oFqJpgrzo7W2F/view?usp=drive_link" TargetMode="External"/><Relationship Id="rId21" Type="http://schemas.openxmlformats.org/officeDocument/2006/relationships/hyperlink" Target="https://drive.google.com/file/d/1ia4AcLE_s__b7BJJr7v5sjp-laJaVhbb/view?usp=drive_link" TargetMode="External"/><Relationship Id="rId42" Type="http://schemas.openxmlformats.org/officeDocument/2006/relationships/hyperlink" Target="https://drive.google.com/file/d/1EXIwSxUcAwCe0lpy7VPW8534Vox076qI/view?usp=drive_link" TargetMode="External"/><Relationship Id="rId63" Type="http://schemas.openxmlformats.org/officeDocument/2006/relationships/hyperlink" Target="https://drive.google.com/file/d/1z9QIammMuFT7GVzjdK8s05LSBl4EECUA/view?usp=drive_link" TargetMode="External"/><Relationship Id="rId84" Type="http://schemas.openxmlformats.org/officeDocument/2006/relationships/hyperlink" Target="https://drive.google.com/file/d/1FvEnxe8MbMy2No4sJZfsQ9FF4LQaJBWS/view?usp=drive_link" TargetMode="External"/><Relationship Id="rId138" Type="http://schemas.openxmlformats.org/officeDocument/2006/relationships/hyperlink" Target="https://drive.google.com/file/d/1Tt5Yid9J2IgEW0uG7MhYWa6WTMgzuwKN/view?usp=drive_link" TargetMode="External"/><Relationship Id="rId159" Type="http://schemas.openxmlformats.org/officeDocument/2006/relationships/hyperlink" Target="https://drive.google.com/file/d/10aL9A0LnqBLNc2lfixtUYamzjvCWDVBX/view?usp=drive_link" TargetMode="External"/><Relationship Id="rId170" Type="http://schemas.openxmlformats.org/officeDocument/2006/relationships/hyperlink" Target="https://drive.google.com/file/d/1D3MonqQCVJls2Ebc9el5Alc6EmlbNPiE/view?usp=drive_link" TargetMode="External"/><Relationship Id="rId191" Type="http://schemas.openxmlformats.org/officeDocument/2006/relationships/hyperlink" Target="https://drive.google.com/file/d/1AvUP291sfSXHFzaoFdo7S_Z8L0fDY_Q0/view?usp=drive_link" TargetMode="External"/><Relationship Id="rId205" Type="http://schemas.openxmlformats.org/officeDocument/2006/relationships/hyperlink" Target="https://drive.google.com/file/d/1TFZsYT0ABfTelrY7DbrOBvBghDfqEc_9/view?usp=drive_link" TargetMode="External"/><Relationship Id="rId107" Type="http://schemas.openxmlformats.org/officeDocument/2006/relationships/hyperlink" Target="https://drive.google.com/file/d/1KtWO0BUA2sTU4Qn1idYpHC1Kq4W6b61z/view?usp=drive_link" TargetMode="External"/><Relationship Id="rId11" Type="http://schemas.openxmlformats.org/officeDocument/2006/relationships/hyperlink" Target="https://drive.google.com/file/d/1uJ540-I6v7_Y9GrykHiQD9D5rnx8-4Gs/view?usp=drive_link" TargetMode="External"/><Relationship Id="rId32" Type="http://schemas.openxmlformats.org/officeDocument/2006/relationships/hyperlink" Target="https://drive.google.com/file/d/1SBclDSn5FD1_SkuXFWnqyyLQpNtZvz3a/view?usp=drive_link" TargetMode="External"/><Relationship Id="rId53" Type="http://schemas.openxmlformats.org/officeDocument/2006/relationships/hyperlink" Target="https://drive.google.com/file/d/1RPy9qNThuB-x7hZyueeycGBEEFflOGxE/view?usp=drive_link" TargetMode="External"/><Relationship Id="rId74" Type="http://schemas.openxmlformats.org/officeDocument/2006/relationships/hyperlink" Target="https://drive.google.com/file/d/1EOwOInH6lUgqorLcfxiVJ70zPVduPK2K/view?usp=drive_link" TargetMode="External"/><Relationship Id="rId128" Type="http://schemas.openxmlformats.org/officeDocument/2006/relationships/hyperlink" Target="https://drive.google.com/file/d/1vCdXm3uLjFlahIPbDJmERfW3BLk-tLPH/view?usp=drive_link" TargetMode="External"/><Relationship Id="rId149" Type="http://schemas.openxmlformats.org/officeDocument/2006/relationships/hyperlink" Target="https://drive.google.com/file/d/1ncnQ1QsFtSHEdx9rJUGF7vKgSD3Y04id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cUJqhJbtB4H5k_JRYKxWrFVnAH3RsDb6/view?usp=drive_link" TargetMode="External"/><Relationship Id="rId160" Type="http://schemas.openxmlformats.org/officeDocument/2006/relationships/hyperlink" Target="https://drive.google.com/file/d/1yISJlhvTGa3d4RURE_vHz5sytuCwTZ-F/view?usp=drive_link" TargetMode="External"/><Relationship Id="rId181" Type="http://schemas.openxmlformats.org/officeDocument/2006/relationships/hyperlink" Target="https://drive.google.com/file/d/1f-Bhl0_D7kNl2HBpI4Ly1IiBdpPC4uYr/view?usp=drive_link" TargetMode="External"/><Relationship Id="rId22" Type="http://schemas.openxmlformats.org/officeDocument/2006/relationships/hyperlink" Target="https://drive.google.com/file/d/1h2O7eddNtJe6iXycXCZxDEEpBci0gvOQ/view?usp=drive_link" TargetMode="External"/><Relationship Id="rId43" Type="http://schemas.openxmlformats.org/officeDocument/2006/relationships/hyperlink" Target="https://drive.google.com/file/d/1uODCXmGlRENmi8PI9DDySq1tzSrwgRbD/view?usp=drive_link" TargetMode="External"/><Relationship Id="rId64" Type="http://schemas.openxmlformats.org/officeDocument/2006/relationships/hyperlink" Target="https://drive.google.com/file/d/15pNttxCA0Ep4nSFXR9CfK6IxVuTE3hZA/view?usp=drive_link" TargetMode="External"/><Relationship Id="rId118" Type="http://schemas.openxmlformats.org/officeDocument/2006/relationships/hyperlink" Target="https://drive.google.com/file/d/1UCPlU6hqM58LDLfSXYlHRN9Ul7fwFU4N/view?usp=drive_link" TargetMode="External"/><Relationship Id="rId139" Type="http://schemas.openxmlformats.org/officeDocument/2006/relationships/hyperlink" Target="https://drive.google.com/file/d/1MC2H2ZaBgXJms-bzG34b_erz3E8Ni520/view?usp=drive_link" TargetMode="External"/><Relationship Id="rId85" Type="http://schemas.openxmlformats.org/officeDocument/2006/relationships/hyperlink" Target="https://drive.google.com/file/d/1UhHy0vBZg4ExlZ_5qIXaTWYaGFg9Aan1/view?usp=drive_link" TargetMode="External"/><Relationship Id="rId150" Type="http://schemas.openxmlformats.org/officeDocument/2006/relationships/hyperlink" Target="https://drive.google.com/file/d/1mG4VLl6OMop168FD3ZOGd0SGy--WamT6/view?usp=drive_link" TargetMode="External"/><Relationship Id="rId171" Type="http://schemas.openxmlformats.org/officeDocument/2006/relationships/hyperlink" Target="https://drive.google.com/file/d/1NzvQtbYFevZLTTbsCGvYTyx9-NnxWXAj/view?usp=drive_link" TargetMode="External"/><Relationship Id="rId192" Type="http://schemas.openxmlformats.org/officeDocument/2006/relationships/hyperlink" Target="https://drive.google.com/file/d/1MzVJQEFLNRuFdexc8ymzpYpBRCexVsu5/view?usp=drive_link" TargetMode="External"/><Relationship Id="rId206" Type="http://schemas.openxmlformats.org/officeDocument/2006/relationships/printerSettings" Target="../printerSettings/printerSettings1.bin"/><Relationship Id="rId12" Type="http://schemas.openxmlformats.org/officeDocument/2006/relationships/hyperlink" Target="https://drive.google.com/file/d/186q7RsNonrWVc-hs-ug8THyPAkJY4Nd-/view?usp=drive_link" TargetMode="External"/><Relationship Id="rId33" Type="http://schemas.openxmlformats.org/officeDocument/2006/relationships/hyperlink" Target="https://drive.google.com/file/d/1HwHg-aNl4DwqnTqbuYy3xjbv37wZInua/view?usp=drive_link" TargetMode="External"/><Relationship Id="rId108" Type="http://schemas.openxmlformats.org/officeDocument/2006/relationships/hyperlink" Target="https://drive.google.com/file/d/1hG4ctCo46LHH5GYYfc-RD32e1C1DKYW0/view?usp=drive_link" TargetMode="External"/><Relationship Id="rId129" Type="http://schemas.openxmlformats.org/officeDocument/2006/relationships/hyperlink" Target="https://drive.google.com/file/d/1ecLEty3Ssb5rlv54mYBGsam7RVhvGu3f/view?usp=drive_link" TargetMode="External"/><Relationship Id="rId54" Type="http://schemas.openxmlformats.org/officeDocument/2006/relationships/hyperlink" Target="https://drive.google.com/file/d/1OhmH-meGhYFycpCueP24SPzvGV_CI2Te/view?usp=drive_link" TargetMode="External"/><Relationship Id="rId75" Type="http://schemas.openxmlformats.org/officeDocument/2006/relationships/hyperlink" Target="https://drive.google.com/file/d/140noge8buaHuNbIWGx_V3cg9dWKg1b0P/view?usp=drive_link" TargetMode="External"/><Relationship Id="rId96" Type="http://schemas.openxmlformats.org/officeDocument/2006/relationships/hyperlink" Target="https://drive.google.com/file/d/1aNTkwyHOmS3HjucOCOX9fKPz1UYKJFSz/view?usp=drive_link" TargetMode="External"/><Relationship Id="rId140" Type="http://schemas.openxmlformats.org/officeDocument/2006/relationships/hyperlink" Target="https://drive.google.com/file/d/1KvXTvqHQ-i0Rk97MRyYnNCjd1YNHlFJU/view?usp=drive_link" TargetMode="External"/><Relationship Id="rId161" Type="http://schemas.openxmlformats.org/officeDocument/2006/relationships/hyperlink" Target="https://drive.google.com/file/d/13Ox4v_ovxYV7sY6b1NgGTQt58Z9U0EOq/view?usp=drive_link" TargetMode="External"/><Relationship Id="rId182" Type="http://schemas.openxmlformats.org/officeDocument/2006/relationships/hyperlink" Target="https://drive.google.com/file/d/1_0jSmg8MRFPhdYMynxlvQ8IvRBrl_IZe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1OdD4RzQIomCQNvapln-ddkrWFxxKim9/view?usp=drive_link" TargetMode="External"/><Relationship Id="rId119" Type="http://schemas.openxmlformats.org/officeDocument/2006/relationships/hyperlink" Target="https://drive.google.com/file/d/1yybi-gJwPSqC9ZGrjGC2bAgBEY-Zwuzd/view?usp=drive_link" TargetMode="External"/><Relationship Id="rId44" Type="http://schemas.openxmlformats.org/officeDocument/2006/relationships/hyperlink" Target="https://drive.google.com/file/d/1KkRcMPFlj740g4X-ynVMLkb2Shu7gI6v/view?usp=drive_link" TargetMode="External"/><Relationship Id="rId65" Type="http://schemas.openxmlformats.org/officeDocument/2006/relationships/hyperlink" Target="https://drive.google.com/file/d/1eonHFfl2UlqBiwDxH90hYU3ndT_oAD1A/view?usp=drive_link" TargetMode="External"/><Relationship Id="rId86" Type="http://schemas.openxmlformats.org/officeDocument/2006/relationships/hyperlink" Target="https://drive.google.com/file/d/1P99kTGNUBFcdS-5tNvRhCv8mI2QZv-FN/view?usp=drive_link" TargetMode="External"/><Relationship Id="rId130" Type="http://schemas.openxmlformats.org/officeDocument/2006/relationships/hyperlink" Target="https://drive.google.com/file/d/1zKt9vm6H_dcxFMg-z-vGoCDSSMjB9kFk/view?usp=drive_link" TargetMode="External"/><Relationship Id="rId151" Type="http://schemas.openxmlformats.org/officeDocument/2006/relationships/hyperlink" Target="https://drive.google.com/file/d/1ehKWRyDpSz5VDkBUSL1L2hvMX8Xtb8fv/view?usp=drive_link" TargetMode="External"/><Relationship Id="rId172" Type="http://schemas.openxmlformats.org/officeDocument/2006/relationships/hyperlink" Target="https://drive.google.com/file/d/1Q0K1O85U4OZdMXEb-8KEzA1oEiflJWDB/view?usp=drive_link" TargetMode="External"/><Relationship Id="rId193" Type="http://schemas.openxmlformats.org/officeDocument/2006/relationships/hyperlink" Target="https://drive.google.com/file/d/16Zr1s1qukAE345Cdgonf02fN7c67A7ZQ/view?usp=drive_link" TargetMode="External"/><Relationship Id="rId207" Type="http://schemas.openxmlformats.org/officeDocument/2006/relationships/table" Target="../tables/table1.xml"/><Relationship Id="rId13" Type="http://schemas.openxmlformats.org/officeDocument/2006/relationships/hyperlink" Target="https://drive.google.com/file/d/1kjqnAZfVfUZTVfpBilkiDcqDgS2EYdPP/view?usp=drive_link" TargetMode="External"/><Relationship Id="rId109" Type="http://schemas.openxmlformats.org/officeDocument/2006/relationships/hyperlink" Target="https://drive.google.com/file/d/15Pa0NUTEovrRrMleR7moUcDrKEn47AZy/view?usp=drive_link" TargetMode="External"/><Relationship Id="rId34" Type="http://schemas.openxmlformats.org/officeDocument/2006/relationships/hyperlink" Target="https://drive.google.com/file/d/1eiXk3qQ0Kt-WhSrVDer7gDfuAI4xr68X/view?usp=drive_link" TargetMode="External"/><Relationship Id="rId55" Type="http://schemas.openxmlformats.org/officeDocument/2006/relationships/hyperlink" Target="https://drive.google.com/file/d/1JesC0f6tN-m1cfZ4grxmYINLjeKXSIgm/view?usp=drive_link" TargetMode="External"/><Relationship Id="rId76" Type="http://schemas.openxmlformats.org/officeDocument/2006/relationships/hyperlink" Target="https://drive.google.com/file/d/19hmmkUJ8oibZrhZKuLxpPZtebATaAsrD/view?usp=drive_link" TargetMode="External"/><Relationship Id="rId97" Type="http://schemas.openxmlformats.org/officeDocument/2006/relationships/hyperlink" Target="https://drive.google.com/file/d/1R1gaJ0TTkkwHymdwRmYShshBd9vwpAfB/view?usp=drive_link" TargetMode="External"/><Relationship Id="rId120" Type="http://schemas.openxmlformats.org/officeDocument/2006/relationships/hyperlink" Target="https://drive.google.com/file/d/1yZqNqeZ3i-JQ_lqKvpBf0gl21cfg581k/view?usp=drive_link" TargetMode="External"/><Relationship Id="rId141" Type="http://schemas.openxmlformats.org/officeDocument/2006/relationships/hyperlink" Target="https://drive.google.com/file/d/1noIu-RGBh0ITAX0OnDqClI9iSR4LH4Ee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el0CRU9Es0c34ovacVLseKmT_eR0H-kC/view?usp=drive_link" TargetMode="External"/><Relationship Id="rId183" Type="http://schemas.openxmlformats.org/officeDocument/2006/relationships/hyperlink" Target="https://drive.google.com/file/d/1zNbBWzmWimNsCxHPmooued2Ljt8Y6pcy/view?usp=drive_link" TargetMode="External"/><Relationship Id="rId24" Type="http://schemas.openxmlformats.org/officeDocument/2006/relationships/hyperlink" Target="https://drive.google.com/file/d/19dyBK_rsfdrsTYekg8z9WPBkPsIknuY9/view?usp=drive_link" TargetMode="External"/><Relationship Id="rId40" Type="http://schemas.openxmlformats.org/officeDocument/2006/relationships/hyperlink" Target="https://drive.google.com/file/d/17fXpp9DLy7IuvTOk_j0QZlxK2rw8Wu7c/view?usp=drive_link" TargetMode="External"/><Relationship Id="rId45" Type="http://schemas.openxmlformats.org/officeDocument/2006/relationships/hyperlink" Target="https://drive.google.com/file/d/1qUivEjvdLSKiwcDL5wV3JEemiKYyef6O/view?usp=drive_link" TargetMode="External"/><Relationship Id="rId66" Type="http://schemas.openxmlformats.org/officeDocument/2006/relationships/hyperlink" Target="https://drive.google.com/file/d/1xcYE7XqbCpFGhSxyKKl305DIoZ5N18KG/view?usp=drive_link" TargetMode="External"/><Relationship Id="rId87" Type="http://schemas.openxmlformats.org/officeDocument/2006/relationships/hyperlink" Target="https://drive.google.com/file/d/1m874XQGnogV0GDtkfL5Q5voA_k7WUngK/view?usp=drive_link" TargetMode="External"/><Relationship Id="rId110" Type="http://schemas.openxmlformats.org/officeDocument/2006/relationships/hyperlink" Target="https://drive.google.com/file/d/1OWUzTPHhTvn_chBLjHw1ra1ChCs9AMq0/view?usp=drive_link" TargetMode="External"/><Relationship Id="rId115" Type="http://schemas.openxmlformats.org/officeDocument/2006/relationships/hyperlink" Target="https://drive.google.com/file/d/1_3FFMIXedbT8LOZ4D4I3ajoA1opdzUkK/view?usp=drive_link" TargetMode="External"/><Relationship Id="rId131" Type="http://schemas.openxmlformats.org/officeDocument/2006/relationships/hyperlink" Target="https://drive.google.com/file/d/10KJTAQjK7ro05HS2EaKp9usB0zyErf9O/view?usp=drive_link" TargetMode="External"/><Relationship Id="rId136" Type="http://schemas.openxmlformats.org/officeDocument/2006/relationships/hyperlink" Target="https://drive.google.com/file/d/1uXxwkaVOmGPENgVt-NQoGRJJkTF13Koa/view?usp=drive_link" TargetMode="External"/><Relationship Id="rId157" Type="http://schemas.openxmlformats.org/officeDocument/2006/relationships/hyperlink" Target="https://drive.google.com/file/d/1sRjUl8QCYt5y_hXg-NRlVKFAy519YyJu/view?usp=drive_link" TargetMode="External"/><Relationship Id="rId178" Type="http://schemas.openxmlformats.org/officeDocument/2006/relationships/hyperlink" Target="https://drive.google.com/file/d/14cgdDQMrdRWkC-nuF1qeZwrsf6zpXuBI/view?usp=drive_link" TargetMode="External"/><Relationship Id="rId61" Type="http://schemas.openxmlformats.org/officeDocument/2006/relationships/hyperlink" Target="https://drive.google.com/file/d/1fQ94s_zrgBd2oJjm12KaQMHzkLznkq0I/view?usp=drive_link" TargetMode="External"/><Relationship Id="rId82" Type="http://schemas.openxmlformats.org/officeDocument/2006/relationships/hyperlink" Target="https://drive.google.com/file/d/1Ud_XrYpuVy6p5Qsq7jQqSBt3ew9L8Y5W/view?usp=drive_link" TargetMode="External"/><Relationship Id="rId152" Type="http://schemas.openxmlformats.org/officeDocument/2006/relationships/hyperlink" Target="https://drive.google.com/file/d/1LbF7G4PtRG6XLFgnmR28-T13i2V5veHU/view?usp=drive_link" TargetMode="External"/><Relationship Id="rId173" Type="http://schemas.openxmlformats.org/officeDocument/2006/relationships/hyperlink" Target="https://drive.google.com/file/d/1UvRknE-RKH-NadUVBm5BFhlPJFUwWOLM/view?usp=drive_link" TargetMode="External"/><Relationship Id="rId194" Type="http://schemas.openxmlformats.org/officeDocument/2006/relationships/hyperlink" Target="https://drive.google.com/file/d/15G-QbSEVgSj4ey2J_3MBIkmmbMu3LZ2d/view?usp=drive_link" TargetMode="External"/><Relationship Id="rId199" Type="http://schemas.openxmlformats.org/officeDocument/2006/relationships/hyperlink" Target="https://drive.google.com/file/d/1fJA_iOtRAMC7d_4kit6lKwjcuMzhMAwb/view?usp=drive_link" TargetMode="External"/><Relationship Id="rId203" Type="http://schemas.openxmlformats.org/officeDocument/2006/relationships/hyperlink" Target="https://drive.google.com/file/d/1_NgoCcdAo36ZGW7F_GNuZyJDJlU_Jt_v/view?usp=drive_link" TargetMode="External"/><Relationship Id="rId19" Type="http://schemas.openxmlformats.org/officeDocument/2006/relationships/hyperlink" Target="https://drive.google.com/file/d/1Grp8hNJiCG-hFfGj9go2_pL2ng91KN7d/view?usp=drive_link" TargetMode="External"/><Relationship Id="rId14" Type="http://schemas.openxmlformats.org/officeDocument/2006/relationships/hyperlink" Target="https://drive.google.com/file/d/1H9qjFEM1S5Q-yBO-Cp3jHPOCYKZU7zaD/view?usp=drive_link" TargetMode="External"/><Relationship Id="rId30" Type="http://schemas.openxmlformats.org/officeDocument/2006/relationships/hyperlink" Target="https://drive.google.com/file/d/12IE5ZPVfQ9QnHDNI1WfwpqsYAYAGrXVx/view?usp=drive_link" TargetMode="External"/><Relationship Id="rId35" Type="http://schemas.openxmlformats.org/officeDocument/2006/relationships/hyperlink" Target="https://drive.google.com/file/d/1i3maKe8QZDGpcsEK6b8RGoVXEWeJeAS9/view?usp=drive_link" TargetMode="External"/><Relationship Id="rId56" Type="http://schemas.openxmlformats.org/officeDocument/2006/relationships/hyperlink" Target="https://drive.google.com/file/d/1Pzg6NurbpkzL9uYPHIwNiPLD9SNqm1Ub/view?usp=drive_link" TargetMode="External"/><Relationship Id="rId77" Type="http://schemas.openxmlformats.org/officeDocument/2006/relationships/hyperlink" Target="https://drive.google.com/file/d/1eCwPlBKQFK-6-BrQlJe4W022NRAxsIB9/view?usp=drive_link" TargetMode="External"/><Relationship Id="rId100" Type="http://schemas.openxmlformats.org/officeDocument/2006/relationships/hyperlink" Target="https://drive.google.com/file/d/1kFAyIjeHbxypRDPBZ0Qch7-ezab1q8E4/view?usp=drive_link" TargetMode="External"/><Relationship Id="rId105" Type="http://schemas.openxmlformats.org/officeDocument/2006/relationships/hyperlink" Target="https://drive.google.com/file/d/1vYKqi4hNvtokdUPQUzVq1LdeZnwztQi5/view?usp=drive_link" TargetMode="External"/><Relationship Id="rId126" Type="http://schemas.openxmlformats.org/officeDocument/2006/relationships/hyperlink" Target="https://drive.google.com/file/d/1GKlaOiv76EWjSkD7_NPd98YJOqwlNoQc/view?usp=drive_link" TargetMode="External"/><Relationship Id="rId147" Type="http://schemas.openxmlformats.org/officeDocument/2006/relationships/hyperlink" Target="https://drive.google.com/file/d/1zq9RQVago1L9GF0gi7MjdYZZv2ZTwKq4/view?usp=drive_link" TargetMode="External"/><Relationship Id="rId168" Type="http://schemas.openxmlformats.org/officeDocument/2006/relationships/hyperlink" Target="https://drive.google.com/file/d/1wm25nX8fKDMGoW5k2r_czRT3saf93Dau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-bQoMw2Y4pwqcrVNx3PDQ-K68JPTzMcp/view?usp=drive_link" TargetMode="External"/><Relationship Id="rId72" Type="http://schemas.openxmlformats.org/officeDocument/2006/relationships/hyperlink" Target="https://drive.google.com/file/d/1sr92g1JJ_INK_Ii5OwTYOV6GQbLlBRql/view?usp=drive_link" TargetMode="External"/><Relationship Id="rId93" Type="http://schemas.openxmlformats.org/officeDocument/2006/relationships/hyperlink" Target="https://drive.google.com/file/d/10bVq36Y8_pDFSNWvcXAaKQp13rYCGErK/view?usp=drive_link" TargetMode="External"/><Relationship Id="rId98" Type="http://schemas.openxmlformats.org/officeDocument/2006/relationships/hyperlink" Target="https://drive.google.com/file/d/1qNv9BBO3v5cRDHWEePJ7VPN7TvioO6qp/view?usp=drive_link" TargetMode="External"/><Relationship Id="rId121" Type="http://schemas.openxmlformats.org/officeDocument/2006/relationships/hyperlink" Target="https://drive.google.com/file/d/15F66JvUZRMDPxEQ3epixGe7wvObocTu4/view?usp=drive_link" TargetMode="External"/><Relationship Id="rId142" Type="http://schemas.openxmlformats.org/officeDocument/2006/relationships/hyperlink" Target="https://drive.google.com/file/d/1LotbyQlZ3g9WBnJ7aqTTkbFRXxffraaT/view?usp=drive_link" TargetMode="External"/><Relationship Id="rId163" Type="http://schemas.openxmlformats.org/officeDocument/2006/relationships/hyperlink" Target="https://drive.google.com/file/d/1sIrQ6a5W4cfb2UnEruGQZN5gF4gTISza/view?usp=drive_link" TargetMode="External"/><Relationship Id="rId184" Type="http://schemas.openxmlformats.org/officeDocument/2006/relationships/hyperlink" Target="https://drive.google.com/file/d/1lggfIZtWIU58MW5zF4hlffFAhNt0JB9J/view?usp=drive_link" TargetMode="External"/><Relationship Id="rId189" Type="http://schemas.openxmlformats.org/officeDocument/2006/relationships/hyperlink" Target="https://drive.google.com/file/d/1CcVHr4hLxOG9PWd8mnuuWpCpWNTpybYJ/view?usp=drive_link" TargetMode="External"/><Relationship Id="rId3" Type="http://schemas.openxmlformats.org/officeDocument/2006/relationships/hyperlink" Target="https://drive.google.com/file/d/1b6TfEIJz7BbB8nyr-M4QQSfkMPjIYEHJ/view?usp=drive_link" TargetMode="External"/><Relationship Id="rId25" Type="http://schemas.openxmlformats.org/officeDocument/2006/relationships/hyperlink" Target="https://drive.google.com/file/d/1-55psXZ3aZSJ0Xet_i2jgnBw2u9ZkF_M/view?usp=drive_link" TargetMode="External"/><Relationship Id="rId46" Type="http://schemas.openxmlformats.org/officeDocument/2006/relationships/hyperlink" Target="https://drive.google.com/file/d/1S5ggY-r41hn-NTPYyTs_pU-CMjFKrOvV/view?usp=drive_link" TargetMode="External"/><Relationship Id="rId67" Type="http://schemas.openxmlformats.org/officeDocument/2006/relationships/hyperlink" Target="https://drive.google.com/file/d/1Ehsu-m9ARPOGwJlsmsMLXVSZcaUnLc2j/view?usp=drive_link" TargetMode="External"/><Relationship Id="rId116" Type="http://schemas.openxmlformats.org/officeDocument/2006/relationships/hyperlink" Target="https://drive.google.com/file/d/1AJHdhSFy2fJkjVfgsDzVsaDlL9S4D5X7/view?usp=drive_link" TargetMode="External"/><Relationship Id="rId137" Type="http://schemas.openxmlformats.org/officeDocument/2006/relationships/hyperlink" Target="https://drive.google.com/file/d/1KmAJaN4chtydjt6TSNi_Y2kz7IqSohu_/view?usp=drive_link" TargetMode="External"/><Relationship Id="rId158" Type="http://schemas.openxmlformats.org/officeDocument/2006/relationships/hyperlink" Target="https://drive.google.com/file/d/1OxoFDhGlsKr9rVounY3E-TqajzevZiq7/view?usp=drive_link" TargetMode="External"/><Relationship Id="rId20" Type="http://schemas.openxmlformats.org/officeDocument/2006/relationships/hyperlink" Target="https://drive.google.com/file/d/1nuoSrmLTSeyrb1LGQgqyu2FOcY32CJJO/view?usp=drive_link" TargetMode="External"/><Relationship Id="rId41" Type="http://schemas.openxmlformats.org/officeDocument/2006/relationships/hyperlink" Target="https://drive.google.com/file/d/1x8NKX9RDDrhQbYpzLUT_Vg6QDms_yvSE/view?usp=drive_link" TargetMode="External"/><Relationship Id="rId62" Type="http://schemas.openxmlformats.org/officeDocument/2006/relationships/hyperlink" Target="https://drive.google.com/file/d/1UHcL0ZWyfJl5ngrd-GUDkUhpaKZCZXeH/view?usp=drive_link" TargetMode="External"/><Relationship Id="rId83" Type="http://schemas.openxmlformats.org/officeDocument/2006/relationships/hyperlink" Target="https://drive.google.com/file/d/1F9F2lC1Xtfp7I4SAaSgXqiAdWHcA8JQx/view?usp=drive_link" TargetMode="External"/><Relationship Id="rId88" Type="http://schemas.openxmlformats.org/officeDocument/2006/relationships/hyperlink" Target="https://drive.google.com/file/d/101QIhAfWfjzjkDIjZRv-3RKrGwpFf8a4/view?usp=drive_link" TargetMode="External"/><Relationship Id="rId111" Type="http://schemas.openxmlformats.org/officeDocument/2006/relationships/hyperlink" Target="https://drive.google.com/file/d/1NAWkDtUluLGetXvGNRpCi_Y6B6Ozirzz/view?usp=drive_link" TargetMode="External"/><Relationship Id="rId132" Type="http://schemas.openxmlformats.org/officeDocument/2006/relationships/hyperlink" Target="https://drive.google.com/file/d/1ERiOB1VZSWyybGMOpBtOu33okORIg9kv/view?usp=drive_link" TargetMode="External"/><Relationship Id="rId153" Type="http://schemas.openxmlformats.org/officeDocument/2006/relationships/hyperlink" Target="https://drive.google.com/file/d/1ew-DGpbG_uIfQ35CL7zs-Ncja-_gXPxC/view?usp=drive_link" TargetMode="External"/><Relationship Id="rId174" Type="http://schemas.openxmlformats.org/officeDocument/2006/relationships/hyperlink" Target="https://drive.google.com/file/d/1EI4-wiCpArUrKsINzbvWxepWzpdqy9oN/view?usp=drive_link" TargetMode="External"/><Relationship Id="rId179" Type="http://schemas.openxmlformats.org/officeDocument/2006/relationships/hyperlink" Target="https://drive.google.com/file/d/1RYuip9el_i1gUG0gQn8uBz1Its_NDLId/view?usp=drive_link" TargetMode="External"/><Relationship Id="rId195" Type="http://schemas.openxmlformats.org/officeDocument/2006/relationships/hyperlink" Target="https://drive.google.com/file/d/1LLKun1dnOn5RvND4yIJmJ1Z0QRV2Dl8B/view?usp=drive_link" TargetMode="External"/><Relationship Id="rId190" Type="http://schemas.openxmlformats.org/officeDocument/2006/relationships/hyperlink" Target="https://drive.google.com/file/d/10TXd_5qz_3iFkntU3hWLKvShMdKx-M_F/view?usp=drive_link" TargetMode="External"/><Relationship Id="rId204" Type="http://schemas.openxmlformats.org/officeDocument/2006/relationships/hyperlink" Target="https://drive.google.com/file/d/1ubAi8bISQFgdvQDjKdKjHnP4dvrLsVZS/view?usp=drive_link" TargetMode="External"/><Relationship Id="rId15" Type="http://schemas.openxmlformats.org/officeDocument/2006/relationships/hyperlink" Target="https://drive.google.com/file/d/1VGaoJHaN7ykox_fxIcBJSJWmeTh7vBOH/view?usp=drive_link" TargetMode="External"/><Relationship Id="rId36" Type="http://schemas.openxmlformats.org/officeDocument/2006/relationships/hyperlink" Target="https://drive.google.com/file/d/1UV54de3L9u704mD_hsyeLnJrE-hs3zeR/view?usp=drive_link" TargetMode="External"/><Relationship Id="rId57" Type="http://schemas.openxmlformats.org/officeDocument/2006/relationships/hyperlink" Target="https://drive.google.com/file/d/1n9L7SpHF_phoyF1XBNJgtAvDfgKsYDyK/view?usp=drive_link" TargetMode="External"/><Relationship Id="rId106" Type="http://schemas.openxmlformats.org/officeDocument/2006/relationships/hyperlink" Target="https://drive.google.com/file/d/1gniDylUpztCUoRlyHrEtXlZ00IeOBPGa/view?usp=drive_link" TargetMode="External"/><Relationship Id="rId127" Type="http://schemas.openxmlformats.org/officeDocument/2006/relationships/hyperlink" Target="https://drive.google.com/file/d/1rlch3w67HZ6EnhwPrNWrfP5srzkX8UVu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6bE2qgMpP8cCtMeRyCF8LB11bYunLPxU/view?usp=drive_link" TargetMode="External"/><Relationship Id="rId52" Type="http://schemas.openxmlformats.org/officeDocument/2006/relationships/hyperlink" Target="https://drive.google.com/file/d/1gOTZv6XrBDbFx392_aoqpUePTJJsufaD/view?usp=drive_link" TargetMode="External"/><Relationship Id="rId73" Type="http://schemas.openxmlformats.org/officeDocument/2006/relationships/hyperlink" Target="https://drive.google.com/file/d/1qeW7Xm-3rYdMyx3Fsnx0tghyRB8Dc-M-/view?usp=drive_link" TargetMode="External"/><Relationship Id="rId78" Type="http://schemas.openxmlformats.org/officeDocument/2006/relationships/hyperlink" Target="https://drive.google.com/file/d/1fjH3QI_UNJCEqJDfeaCSLplR52qsnFNm/view?usp=drive_link" TargetMode="External"/><Relationship Id="rId94" Type="http://schemas.openxmlformats.org/officeDocument/2006/relationships/hyperlink" Target="https://drive.google.com/file/d/1_XP0CersssUikqacQKYfkltGF7GzQrn9/view?usp=drive_link" TargetMode="External"/><Relationship Id="rId99" Type="http://schemas.openxmlformats.org/officeDocument/2006/relationships/hyperlink" Target="https://drive.google.com/file/d/19-oooPDsHvAt7xdO9V38AoUvlDpbI0MQ/view?usp=drive_link" TargetMode="External"/><Relationship Id="rId101" Type="http://schemas.openxmlformats.org/officeDocument/2006/relationships/hyperlink" Target="https://drive.google.com/file/d/1VcD60y5zTYB9TiTcSok4TWFuREuj4Ygy/view?usp=drive_link" TargetMode="External"/><Relationship Id="rId122" Type="http://schemas.openxmlformats.org/officeDocument/2006/relationships/hyperlink" Target="https://drive.google.com/file/d/13Sfr_lxUgCBEdl01zsLvLmDr2AvMQW2l/view?usp=drive_link" TargetMode="External"/><Relationship Id="rId143" Type="http://schemas.openxmlformats.org/officeDocument/2006/relationships/hyperlink" Target="https://drive.google.com/file/d/1-LJbu4zwSH9-dwEA-jYJWQcqzjE5k6Sb/view?usp=drive_link" TargetMode="External"/><Relationship Id="rId148" Type="http://schemas.openxmlformats.org/officeDocument/2006/relationships/hyperlink" Target="https://drive.google.com/file/d/1N09O_FloBm9TglhtfJMfVGprBby-hUlq/view?usp=drive_link" TargetMode="External"/><Relationship Id="rId164" Type="http://schemas.openxmlformats.org/officeDocument/2006/relationships/hyperlink" Target="https://drive.google.com/file/d/1Lbv5WtHyIzbDN2KNoKqeWn5vI5JhipiB/view?usp=drive_link" TargetMode="External"/><Relationship Id="rId169" Type="http://schemas.openxmlformats.org/officeDocument/2006/relationships/hyperlink" Target="https://drive.google.com/file/d/1DdS3cngHinCTue-6GqEw6k5HdVeac8Ua/view?usp=drive_link" TargetMode="External"/><Relationship Id="rId185" Type="http://schemas.openxmlformats.org/officeDocument/2006/relationships/hyperlink" Target="https://drive.google.com/file/d/1Zz_is68Cu72eAi8IDhpne-fIjxr0ptCw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ST4m6g7G5RUIQJQGFd2si5UeH9lOVB1M/view?usp=drive_link" TargetMode="External"/><Relationship Id="rId26" Type="http://schemas.openxmlformats.org/officeDocument/2006/relationships/hyperlink" Target="https://drive.google.com/file/d/1o1sTc8KC7MUXbeTv2mH0OMc0Y8QNJ6-6/view?usp=drive_link" TargetMode="External"/><Relationship Id="rId47" Type="http://schemas.openxmlformats.org/officeDocument/2006/relationships/hyperlink" Target="https://drive.google.com/file/d/1-5M4-uV5HYON0fuk8IhT1Zj-xHNHhhAK/view?usp=drive_link" TargetMode="External"/><Relationship Id="rId68" Type="http://schemas.openxmlformats.org/officeDocument/2006/relationships/hyperlink" Target="https://drive.google.com/file/d/1G-JwQJ6clSXNxikfZf-_t8Oq484_LPI-/view?usp=drive_link" TargetMode="External"/><Relationship Id="rId89" Type="http://schemas.openxmlformats.org/officeDocument/2006/relationships/hyperlink" Target="https://drive.google.com/file/d/1iDxeq6359b3WZuM354Gw-3xF4oTy6Xky/view?usp=drive_link" TargetMode="External"/><Relationship Id="rId112" Type="http://schemas.openxmlformats.org/officeDocument/2006/relationships/hyperlink" Target="https://drive.google.com/file/d/13tdkCm3O7mzkxYWlpWgHSKwhpC8fqRK8/view?usp=drive_link" TargetMode="External"/><Relationship Id="rId133" Type="http://schemas.openxmlformats.org/officeDocument/2006/relationships/hyperlink" Target="https://drive.google.com/file/d/1Tc8pF8FD7VJ4mKn_ssfy8oPVsR3Mg9qj/view?usp=drive_link" TargetMode="External"/><Relationship Id="rId154" Type="http://schemas.openxmlformats.org/officeDocument/2006/relationships/hyperlink" Target="https://drive.google.com/file/d/1ON3eOxK7sow604PqDBQ59DEWaBgFa0B2/view?usp=drive_link" TargetMode="External"/><Relationship Id="rId175" Type="http://schemas.openxmlformats.org/officeDocument/2006/relationships/hyperlink" Target="https://drive.google.com/file/d/1ohQm7tIHQp2a1e65xjLswGv8bAxe4SX2/view?usp=drive_link" TargetMode="External"/><Relationship Id="rId196" Type="http://schemas.openxmlformats.org/officeDocument/2006/relationships/hyperlink" Target="https://drive.google.com/file/d/14Vze1zUZFHpKnb0gYQAajfCVVL3z8468/view?usp=drive_link" TargetMode="External"/><Relationship Id="rId200" Type="http://schemas.openxmlformats.org/officeDocument/2006/relationships/hyperlink" Target="https://drive.google.com/file/d/1buVZ1qpnwUiR5koROWPWm89ExZhorpKK/view?usp=drive_link" TargetMode="External"/><Relationship Id="rId16" Type="http://schemas.openxmlformats.org/officeDocument/2006/relationships/hyperlink" Target="https://drive.google.com/file/d/1IKxlQkrRqG2ol-64t5hSL4tKmvteVHvG/view?usp=drive_link" TargetMode="External"/><Relationship Id="rId37" Type="http://schemas.openxmlformats.org/officeDocument/2006/relationships/hyperlink" Target="https://drive.google.com/file/d/14Z30RBV_6vG-BMqe0mK6X2b6o6egD8nD/view?usp=drive_link" TargetMode="External"/><Relationship Id="rId58" Type="http://schemas.openxmlformats.org/officeDocument/2006/relationships/hyperlink" Target="https://drive.google.com/file/d/1CSFId3mbMAgz6tA5lDOhlzLCp6jM2zFy/view?usp=drive_link" TargetMode="External"/><Relationship Id="rId79" Type="http://schemas.openxmlformats.org/officeDocument/2006/relationships/hyperlink" Target="https://drive.google.com/file/d/12I7A9ntk33Ig_EHjWaMlUJRnV6AhLFJP/view?usp=drive_link" TargetMode="External"/><Relationship Id="rId102" Type="http://schemas.openxmlformats.org/officeDocument/2006/relationships/hyperlink" Target="https://drive.google.com/file/d/1miKBLZqkB7xNVwZLPKKQ6zJLnjxTsiek/view?usp=drive_link" TargetMode="External"/><Relationship Id="rId123" Type="http://schemas.openxmlformats.org/officeDocument/2006/relationships/hyperlink" Target="https://drive.google.com/file/d/1vVjdeDbQ05PRp_1K9n2OH2-8tuKi7_jV/view?usp=drive_link" TargetMode="External"/><Relationship Id="rId144" Type="http://schemas.openxmlformats.org/officeDocument/2006/relationships/hyperlink" Target="https://drive.google.com/file/d/1l7zZXQeZBOLzWEHo-WRc7LrUQqva-5c6/view?usp=drive_link" TargetMode="External"/><Relationship Id="rId90" Type="http://schemas.openxmlformats.org/officeDocument/2006/relationships/hyperlink" Target="https://drive.google.com/file/d/1_vY84M2CBCe1f5Y7qY9eb8QInx8yrw5Z/view?usp=drive_link" TargetMode="External"/><Relationship Id="rId165" Type="http://schemas.openxmlformats.org/officeDocument/2006/relationships/hyperlink" Target="https://drive.google.com/file/d/1P-bLW9jUcI68bAJnxLXIVucI4jwIckhu/view?usp=drive_link" TargetMode="External"/><Relationship Id="rId186" Type="http://schemas.openxmlformats.org/officeDocument/2006/relationships/hyperlink" Target="https://drive.google.com/file/d/1odDPv32wNnk4Kt6dH6lX5kNKme5AmSh6/view?usp=drive_link" TargetMode="External"/><Relationship Id="rId27" Type="http://schemas.openxmlformats.org/officeDocument/2006/relationships/hyperlink" Target="https://drive.google.com/file/d/15krf4Jhc_zN8HsGHbSkuFUMTUslTW21F/view?usp=drive_link" TargetMode="External"/><Relationship Id="rId48" Type="http://schemas.openxmlformats.org/officeDocument/2006/relationships/hyperlink" Target="https://drive.google.com/file/d/15EF-sv0bLY8EsaC40Ilw3jBzKoiB2xk-/view?usp=drive_link" TargetMode="External"/><Relationship Id="rId69" Type="http://schemas.openxmlformats.org/officeDocument/2006/relationships/hyperlink" Target="https://drive.google.com/file/d/1ccTl2jFmpc7a5SR6EWhz9lJoNA-vi4cQ/view?usp=drive_link" TargetMode="External"/><Relationship Id="rId113" Type="http://schemas.openxmlformats.org/officeDocument/2006/relationships/hyperlink" Target="https://drive.google.com/file/d/1O7RQrPjNfclXMgfxReRabFL-n0TyBzWV/view?usp=drive_link" TargetMode="External"/><Relationship Id="rId134" Type="http://schemas.openxmlformats.org/officeDocument/2006/relationships/hyperlink" Target="https://drive.google.com/file/d/1AGal7Pes4tSgiQZqkbaSDaa6flXD2FDl/view?usp=drive_link" TargetMode="External"/><Relationship Id="rId80" Type="http://schemas.openxmlformats.org/officeDocument/2006/relationships/hyperlink" Target="https://drive.google.com/file/d/1SGMOh8cn-VgeC5_uvxJZwaLu48jgnB06/view?usp=drive_link" TargetMode="External"/><Relationship Id="rId155" Type="http://schemas.openxmlformats.org/officeDocument/2006/relationships/hyperlink" Target="https://drive.google.com/file/d/1J4UVIc0Ec7cCHdykqZAiel-8ApzkoA8b/view?usp=drive_link" TargetMode="External"/><Relationship Id="rId176" Type="http://schemas.openxmlformats.org/officeDocument/2006/relationships/hyperlink" Target="https://drive.google.com/file/d/1TZP56ggzgfGVvU_xe44L4EY_q1-E4Cob/view?usp=drive_link" TargetMode="External"/><Relationship Id="rId197" Type="http://schemas.openxmlformats.org/officeDocument/2006/relationships/hyperlink" Target="https://drive.google.com/file/d/1YlXZwQeHQVyj12XU5pXO-tCW0eYnD-7h/view?usp=drive_link" TargetMode="External"/><Relationship Id="rId201" Type="http://schemas.openxmlformats.org/officeDocument/2006/relationships/hyperlink" Target="https://drive.google.com/file/d/1PSE34h_RZlnskyJU_5s1ueQQvf3qjuHg/view?usp=drive_link" TargetMode="External"/><Relationship Id="rId17" Type="http://schemas.openxmlformats.org/officeDocument/2006/relationships/hyperlink" Target="https://drive.google.com/file/d/1D1lNKXv-ZtOugRKcXFbFXjDdX1F-bliX/view?usp=drive_link" TargetMode="External"/><Relationship Id="rId38" Type="http://schemas.openxmlformats.org/officeDocument/2006/relationships/hyperlink" Target="https://drive.google.com/file/d/1Ao2pDLuL2Fd-Ifmwf4_ITiiH1SRWJWcr/view?usp=drive_link" TargetMode="External"/><Relationship Id="rId59" Type="http://schemas.openxmlformats.org/officeDocument/2006/relationships/hyperlink" Target="https://drive.google.com/file/d/17RBUha-_iXUs9kSAxz-_drv1F6d0o7LK/view?usp=drive_link" TargetMode="External"/><Relationship Id="rId103" Type="http://schemas.openxmlformats.org/officeDocument/2006/relationships/hyperlink" Target="https://drive.google.com/file/d/1Va8plSeYAHl8JR-wWqTFCRkUO11DKuqp/view?usp=drive_link" TargetMode="External"/><Relationship Id="rId124" Type="http://schemas.openxmlformats.org/officeDocument/2006/relationships/hyperlink" Target="https://drive.google.com/file/d/1XO5MKH5o8pOddnakIdIBWMWHVToKgWei/view?usp=drive_link" TargetMode="External"/><Relationship Id="rId70" Type="http://schemas.openxmlformats.org/officeDocument/2006/relationships/hyperlink" Target="https://drive.google.com/file/d/1gK_XRqrot3ccOZ0x1DN3ufKG_n9D2eub/view?usp=drive_link" TargetMode="External"/><Relationship Id="rId91" Type="http://schemas.openxmlformats.org/officeDocument/2006/relationships/hyperlink" Target="https://drive.google.com/file/d/1DLeveZ1U1QoOrWWTG2X3myQzGV9AjHxO/view?usp=drive_link" TargetMode="External"/><Relationship Id="rId145" Type="http://schemas.openxmlformats.org/officeDocument/2006/relationships/hyperlink" Target="https://drive.google.com/file/d/1uurFgqwgFxhzvFIoDaTke7j4gNnLB0CF/view?usp=drive_link" TargetMode="External"/><Relationship Id="rId166" Type="http://schemas.openxmlformats.org/officeDocument/2006/relationships/hyperlink" Target="https://drive.google.com/file/d/1N6I7iu9ME2eXOxbG2wJO1TsLxmLIVaFo/view?usp=drive_link" TargetMode="External"/><Relationship Id="rId187" Type="http://schemas.openxmlformats.org/officeDocument/2006/relationships/hyperlink" Target="https://drive.google.com/file/d/1s8kBUTOYHtTWySISKax6ueTa2cYQpEg-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5YjcF2XIeOec6JLIZUBJAvnweVHxDtY5/view?usp=drive_link" TargetMode="External"/><Relationship Id="rId49" Type="http://schemas.openxmlformats.org/officeDocument/2006/relationships/hyperlink" Target="https://drive.google.com/file/d/1eqES4NnjXc-26WJAinQFt9oNag3o-M9O/view?usp=drive_link" TargetMode="External"/><Relationship Id="rId114" Type="http://schemas.openxmlformats.org/officeDocument/2006/relationships/hyperlink" Target="https://drive.google.com/file/d/1sbFIE1Vu8BGzizIQfbFJn5kW0wUjMG5j/view?usp=drive_link" TargetMode="External"/><Relationship Id="rId60" Type="http://schemas.openxmlformats.org/officeDocument/2006/relationships/hyperlink" Target="https://drive.google.com/file/d/1JUADQPe4hw63ynz4XMof8hpfnCzy9OM5/view?usp=drive_link" TargetMode="External"/><Relationship Id="rId81" Type="http://schemas.openxmlformats.org/officeDocument/2006/relationships/hyperlink" Target="https://drive.google.com/file/d/1EnFrlPXyfwxRaFN9DlqOIswJ7wEGELAs/view?usp=drive_link" TargetMode="External"/><Relationship Id="rId135" Type="http://schemas.openxmlformats.org/officeDocument/2006/relationships/hyperlink" Target="https://drive.google.com/file/d/1wsQNWPzifij6e42N2-1gzTvv_w5NRPuB/view?usp=drive_link" TargetMode="External"/><Relationship Id="rId156" Type="http://schemas.openxmlformats.org/officeDocument/2006/relationships/hyperlink" Target="https://drive.google.com/file/d/1FUF0yaDXtFqNI9VnKRC-tCmlPe3mtWdF/view?usp=drive_link" TargetMode="External"/><Relationship Id="rId177" Type="http://schemas.openxmlformats.org/officeDocument/2006/relationships/hyperlink" Target="https://drive.google.com/file/d/13CQekC2IhUXLvy6XEAU98NkdiImMxgPT/view?usp=drive_link" TargetMode="External"/><Relationship Id="rId198" Type="http://schemas.openxmlformats.org/officeDocument/2006/relationships/hyperlink" Target="https://drive.google.com/file/d/1wZyrZ30aVJNmka3eC1VNhIWxhTnaK9WR/view?usp=drive_link" TargetMode="External"/><Relationship Id="rId202" Type="http://schemas.openxmlformats.org/officeDocument/2006/relationships/hyperlink" Target="https://drive.google.com/file/d/1htgFy4HYmgyJdrzCv8UPwuPktadA0XU9/view?usp=drive_link" TargetMode="External"/><Relationship Id="rId18" Type="http://schemas.openxmlformats.org/officeDocument/2006/relationships/hyperlink" Target="https://drive.google.com/file/d/1ZgdAfVEylXUSB2HtZZHXA6lBusFtFETx/view?usp=drive_link" TargetMode="External"/><Relationship Id="rId39" Type="http://schemas.openxmlformats.org/officeDocument/2006/relationships/hyperlink" Target="https://drive.google.com/file/d/1NGOFh51g8wb4_rgygIwAFgGksUwsK_xp/view?usp=drive_link" TargetMode="External"/><Relationship Id="rId50" Type="http://schemas.openxmlformats.org/officeDocument/2006/relationships/hyperlink" Target="https://drive.google.com/file/d/1kYUm-yZt1PjtOSDhRB6SJzKDQgmp-RO2/view?usp=drive_link" TargetMode="External"/><Relationship Id="rId104" Type="http://schemas.openxmlformats.org/officeDocument/2006/relationships/hyperlink" Target="https://drive.google.com/file/d/1kTiBEKYbmSRReQx2KF5DI3UnMeddxwU0/view?usp=drive_link" TargetMode="External"/><Relationship Id="rId125" Type="http://schemas.openxmlformats.org/officeDocument/2006/relationships/hyperlink" Target="https://drive.google.com/file/d/1iyFFuDj1HX_X3iNZlrgp4CSM6UKekB-8/view?usp=drive_link" TargetMode="External"/><Relationship Id="rId146" Type="http://schemas.openxmlformats.org/officeDocument/2006/relationships/hyperlink" Target="https://drive.google.com/file/d/1sCe1wPhBDO9jcVzHzf8ZJNJxY-PoU0B8/view?usp=drive_link" TargetMode="External"/><Relationship Id="rId167" Type="http://schemas.openxmlformats.org/officeDocument/2006/relationships/hyperlink" Target="https://drive.google.com/file/d/1K35EWOSJZYJT08xOL6A0bs8W6yV3QVyQ/view?usp=drive_link" TargetMode="External"/><Relationship Id="rId188" Type="http://schemas.openxmlformats.org/officeDocument/2006/relationships/hyperlink" Target="https://drive.google.com/file/d/1Pfa0VKTcfIeKJlENWuc3G106Z1hJ-xpz/view?usp=drive_link" TargetMode="External"/><Relationship Id="rId71" Type="http://schemas.openxmlformats.org/officeDocument/2006/relationships/hyperlink" Target="https://drive.google.com/file/d/1U24ylevgEInRrPHOY6gJRnGnL5V5GCLm/view?usp=drive_link" TargetMode="External"/><Relationship Id="rId92" Type="http://schemas.openxmlformats.org/officeDocument/2006/relationships/hyperlink" Target="https://drive.google.com/file/d/13qslRp6IFhD4e8UdWM8ElgJ0V4h36LB4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lqUZ6GsXJ3ThZildHE8DnrELfMZ35Ibd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L204"/>
  <sheetViews>
    <sheetView tabSelected="1" topLeftCell="E1" workbookViewId="0">
      <pane ySplit="1" topLeftCell="A2" activePane="bottomLeft" state="frozen"/>
      <selection pane="bottomLeft" activeCell="M1" sqref="M1:M1048576"/>
    </sheetView>
  </sheetViews>
  <sheetFormatPr defaultColWidth="8.88671875" defaultRowHeight="10.199999999999999" x14ac:dyDescent="0.3"/>
  <cols>
    <col min="1" max="1" width="8.88671875" style="11"/>
    <col min="2" max="2" width="10" style="11" customWidth="1"/>
    <col min="3" max="3" width="41.109375" style="2" customWidth="1"/>
    <col min="4" max="4" width="18.5546875" style="11" customWidth="1"/>
    <col min="5" max="5" width="10" style="11" customWidth="1"/>
    <col min="6" max="6" width="28.33203125" style="2" customWidth="1"/>
    <col min="7" max="7" width="23.5546875" style="11" customWidth="1"/>
    <col min="8" max="8" width="22.6640625" style="11" customWidth="1"/>
    <col min="9" max="9" width="22.88671875" style="11" customWidth="1"/>
    <col min="10" max="10" width="29.44140625" style="11" bestFit="1" customWidth="1"/>
    <col min="11" max="11" width="29.44140625" style="11" customWidth="1"/>
    <col min="12" max="12" width="26.77734375" style="11" customWidth="1"/>
    <col min="13" max="16384" width="8.88671875" style="11"/>
  </cols>
  <sheetData>
    <row r="1" spans="1:12" ht="27.6" customHeight="1" x14ac:dyDescent="0.3">
      <c r="A1" s="11" t="s">
        <v>0</v>
      </c>
      <c r="B1" s="12" t="s">
        <v>1</v>
      </c>
      <c r="C1" s="7" t="s">
        <v>2</v>
      </c>
      <c r="D1" s="12" t="s">
        <v>3</v>
      </c>
      <c r="E1" s="12" t="s">
        <v>4</v>
      </c>
      <c r="F1" s="7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902</v>
      </c>
      <c r="L1" s="10" t="s">
        <v>699</v>
      </c>
    </row>
    <row r="2" spans="1:12" ht="20.399999999999999" x14ac:dyDescent="0.3">
      <c r="A2" s="11">
        <f>ROW(Tabela1[[#This Row],[Toolbox No / Container No]])-1</f>
        <v>1</v>
      </c>
      <c r="B2" s="11" t="s">
        <v>379</v>
      </c>
      <c r="C2" s="2" t="s">
        <v>324</v>
      </c>
      <c r="D2" s="11" t="s">
        <v>325</v>
      </c>
      <c r="E2" s="11" t="s">
        <v>326</v>
      </c>
      <c r="F2" s="5" t="s">
        <v>380</v>
      </c>
      <c r="G2" s="13">
        <v>45665.888194444444</v>
      </c>
      <c r="H2" s="14">
        <f>EDATE(Tabela1[[#This Row],[Data da calibração/certificação ]],12)</f>
        <v>46030</v>
      </c>
      <c r="I2" s="15">
        <f ca="1">INT(Tabela1[[#This Row],[Próxima data de calibração/certificação]]-TODAY())</f>
        <v>101</v>
      </c>
      <c r="J2" s="16" t="s">
        <v>14</v>
      </c>
      <c r="K2" s="16" t="s">
        <v>906</v>
      </c>
      <c r="L2" s="11" t="s">
        <v>700</v>
      </c>
    </row>
    <row r="3" spans="1:12" ht="20.399999999999999" x14ac:dyDescent="0.3">
      <c r="A3" s="11">
        <f>ROW(Tabela1[[#This Row],[Toolbox No / Container No]])-1</f>
        <v>2</v>
      </c>
      <c r="B3" s="11" t="s">
        <v>323</v>
      </c>
      <c r="C3" s="2" t="s">
        <v>324</v>
      </c>
      <c r="D3" s="11" t="s">
        <v>325</v>
      </c>
      <c r="E3" s="11" t="s">
        <v>326</v>
      </c>
      <c r="F3" s="5" t="s">
        <v>381</v>
      </c>
      <c r="G3" s="13">
        <v>45665.635416666664</v>
      </c>
      <c r="H3" s="14">
        <f>EDATE(Tabela1[[#This Row],[Data da calibração/certificação ]],12)</f>
        <v>46030</v>
      </c>
      <c r="I3" s="15">
        <f ca="1">INT(Tabela1[[#This Row],[Próxima data de calibração/certificação]]-TODAY())</f>
        <v>101</v>
      </c>
      <c r="J3" s="16" t="s">
        <v>14</v>
      </c>
      <c r="K3" s="16" t="s">
        <v>906</v>
      </c>
      <c r="L3" s="11" t="s">
        <v>701</v>
      </c>
    </row>
    <row r="4" spans="1:12" ht="20.399999999999999" x14ac:dyDescent="0.3">
      <c r="A4" s="11">
        <f>ROW(Tabela1[[#This Row],[Toolbox No / Container No]])-1</f>
        <v>3</v>
      </c>
      <c r="B4" s="11" t="s">
        <v>72</v>
      </c>
      <c r="C4" s="2" t="s">
        <v>73</v>
      </c>
      <c r="D4" s="11" t="s">
        <v>74</v>
      </c>
      <c r="E4" s="11" t="s">
        <v>75</v>
      </c>
      <c r="F4" s="5" t="s">
        <v>76</v>
      </c>
      <c r="G4" s="13">
        <v>45728.470833333333</v>
      </c>
      <c r="H4" s="14">
        <f>EDATE(Tabela1[[#This Row],[Data da calibração/certificação ]],12)</f>
        <v>46093</v>
      </c>
      <c r="I4" s="15">
        <f ca="1">INT(Tabela1[[#This Row],[Próxima data de calibração/certificação]]-TODAY())</f>
        <v>164</v>
      </c>
      <c r="J4" s="16" t="s">
        <v>14</v>
      </c>
      <c r="K4" s="16" t="s">
        <v>907</v>
      </c>
      <c r="L4" s="11" t="s">
        <v>702</v>
      </c>
    </row>
    <row r="5" spans="1:12" ht="20.399999999999999" x14ac:dyDescent="0.3">
      <c r="A5" s="11">
        <f>ROW(Tabela1[[#This Row],[Toolbox No / Container No]])-1</f>
        <v>4</v>
      </c>
      <c r="B5" s="11" t="s">
        <v>362</v>
      </c>
      <c r="C5" s="2" t="s">
        <v>73</v>
      </c>
      <c r="D5" s="11" t="s">
        <v>74</v>
      </c>
      <c r="F5" s="5" t="s">
        <v>363</v>
      </c>
      <c r="G5" s="13">
        <v>45776.345138888886</v>
      </c>
      <c r="H5" s="14">
        <f>EDATE(Tabela1[[#This Row],[Data da calibração/certificação ]],12)</f>
        <v>46141</v>
      </c>
      <c r="I5" s="15">
        <f ca="1">INT(Tabela1[[#This Row],[Próxima data de calibração/certificação]]-TODAY())</f>
        <v>212</v>
      </c>
      <c r="J5" s="16" t="s">
        <v>14</v>
      </c>
      <c r="K5" s="16" t="s">
        <v>907</v>
      </c>
      <c r="L5" s="11" t="s">
        <v>703</v>
      </c>
    </row>
    <row r="6" spans="1:12" ht="30.6" x14ac:dyDescent="0.3">
      <c r="A6" s="11">
        <f>ROW(Tabela1[[#This Row],[Toolbox No / Container No]])-1</f>
        <v>5</v>
      </c>
      <c r="B6" s="11" t="s">
        <v>172</v>
      </c>
      <c r="C6" s="2" t="s">
        <v>173</v>
      </c>
      <c r="D6" s="11" t="s">
        <v>174</v>
      </c>
      <c r="F6" s="5" t="s">
        <v>175</v>
      </c>
      <c r="G6" s="13">
        <v>45842.570138888892</v>
      </c>
      <c r="H6" s="14">
        <f>EDATE(Tabela1[[#This Row],[Data da calibração/certificação ]],12)</f>
        <v>46207</v>
      </c>
      <c r="I6" s="15">
        <f ca="1">INT(Tabela1[[#This Row],[Próxima data de calibração/certificação]]-TODAY())</f>
        <v>278</v>
      </c>
      <c r="J6" s="16" t="s">
        <v>14</v>
      </c>
      <c r="K6" s="16" t="s">
        <v>908</v>
      </c>
      <c r="L6" s="11" t="s">
        <v>704</v>
      </c>
    </row>
    <row r="7" spans="1:12" ht="20.399999999999999" x14ac:dyDescent="0.3">
      <c r="A7" s="11">
        <f>ROW(Tabela1[[#This Row],[Toolbox No / Container No]])-1</f>
        <v>6</v>
      </c>
      <c r="B7" s="11" t="s">
        <v>23</v>
      </c>
      <c r="C7" s="2" t="s">
        <v>24</v>
      </c>
      <c r="D7" s="11" t="s">
        <v>25</v>
      </c>
      <c r="E7" s="11" t="s">
        <v>26</v>
      </c>
      <c r="F7" s="5" t="s">
        <v>528</v>
      </c>
      <c r="G7" s="13">
        <v>45859</v>
      </c>
      <c r="H7" s="14">
        <f>EDATE(Tabela1[[#This Row],[Data da calibração/certificação ]],12)</f>
        <v>46224</v>
      </c>
      <c r="I7" s="15">
        <f ca="1">INT(Tabela1[[#This Row],[Próxima data de calibração/certificação]]-TODAY())</f>
        <v>295</v>
      </c>
      <c r="J7" s="16" t="s">
        <v>14</v>
      </c>
      <c r="K7" s="16" t="s">
        <v>909</v>
      </c>
      <c r="L7" s="11" t="s">
        <v>705</v>
      </c>
    </row>
    <row r="8" spans="1:12" ht="20.399999999999999" x14ac:dyDescent="0.3">
      <c r="A8" s="11">
        <f>ROW(Tabela1[[#This Row],[Toolbox No / Container No]])-1</f>
        <v>7</v>
      </c>
      <c r="B8" s="11" t="s">
        <v>27</v>
      </c>
      <c r="C8" s="2" t="s">
        <v>24</v>
      </c>
      <c r="D8" s="11" t="s">
        <v>25</v>
      </c>
      <c r="E8" s="11" t="s">
        <v>28</v>
      </c>
      <c r="F8" s="5" t="s">
        <v>529</v>
      </c>
      <c r="G8" s="13">
        <v>45859</v>
      </c>
      <c r="H8" s="14">
        <f>EDATE(Tabela1[[#This Row],[Data da calibração/certificação ]],12)</f>
        <v>46224</v>
      </c>
      <c r="I8" s="15">
        <f ca="1">INT(Tabela1[[#This Row],[Próxima data de calibração/certificação]]-TODAY())</f>
        <v>295</v>
      </c>
      <c r="J8" s="16" t="s">
        <v>14</v>
      </c>
      <c r="K8" s="16" t="s">
        <v>909</v>
      </c>
      <c r="L8" s="11" t="s">
        <v>706</v>
      </c>
    </row>
    <row r="9" spans="1:12" ht="20.399999999999999" x14ac:dyDescent="0.3">
      <c r="A9" s="11">
        <f>ROW(Tabela1[[#This Row],[Toolbox No / Container No]])-1</f>
        <v>8</v>
      </c>
      <c r="B9" s="11" t="s">
        <v>68</v>
      </c>
      <c r="C9" s="2" t="s">
        <v>69</v>
      </c>
      <c r="D9" s="11" t="s">
        <v>70</v>
      </c>
      <c r="F9" s="5" t="s">
        <v>71</v>
      </c>
      <c r="G9" s="13">
        <v>45727.588194444441</v>
      </c>
      <c r="H9" s="14">
        <f>EDATE(Tabela1[[#This Row],[Data da calibração/certificação ]],12)</f>
        <v>46092</v>
      </c>
      <c r="I9" s="15">
        <f ca="1">INT(Tabela1[[#This Row],[Próxima data de calibração/certificação]]-TODAY())</f>
        <v>163</v>
      </c>
      <c r="J9" s="16" t="s">
        <v>14</v>
      </c>
      <c r="K9" s="16" t="s">
        <v>910</v>
      </c>
      <c r="L9" s="11" t="s">
        <v>707</v>
      </c>
    </row>
    <row r="10" spans="1:12" ht="20.399999999999999" x14ac:dyDescent="0.3">
      <c r="A10" s="11">
        <f>ROW(Tabela1[[#This Row],[Toolbox No / Container No]])-1</f>
        <v>9</v>
      </c>
      <c r="B10" s="11" t="s">
        <v>425</v>
      </c>
      <c r="C10" s="2" t="s">
        <v>69</v>
      </c>
      <c r="D10" s="11" t="s">
        <v>70</v>
      </c>
      <c r="F10" s="5" t="s">
        <v>426</v>
      </c>
      <c r="G10" s="13">
        <v>45727.470138888886</v>
      </c>
      <c r="H10" s="14">
        <f>EDATE(Tabela1[[#This Row],[Data da calibração/certificação ]],12)</f>
        <v>46092</v>
      </c>
      <c r="I10" s="15">
        <f ca="1">INT(Tabela1[[#This Row],[Próxima data de calibração/certificação]]-TODAY())</f>
        <v>163</v>
      </c>
      <c r="J10" s="16" t="s">
        <v>14</v>
      </c>
      <c r="K10" s="16" t="s">
        <v>910</v>
      </c>
      <c r="L10" s="11" t="s">
        <v>708</v>
      </c>
    </row>
    <row r="11" spans="1:12" ht="20.399999999999999" x14ac:dyDescent="0.3">
      <c r="A11" s="11">
        <f>ROW(Tabela1[[#This Row],[Toolbox No / Container No]])-1</f>
        <v>10</v>
      </c>
      <c r="B11" s="11" t="s">
        <v>286</v>
      </c>
      <c r="C11" s="2" t="s">
        <v>287</v>
      </c>
      <c r="D11" s="11" t="s">
        <v>288</v>
      </c>
      <c r="F11" s="5" t="s">
        <v>289</v>
      </c>
      <c r="G11" s="13">
        <v>45727.434027777781</v>
      </c>
      <c r="H11" s="14">
        <f>EDATE(Tabela1[[#This Row],[Data da calibração/certificação ]],12)</f>
        <v>46092</v>
      </c>
      <c r="I11" s="15">
        <f ca="1">INT(Tabela1[[#This Row],[Próxima data de calibração/certificação]]-TODAY())</f>
        <v>163</v>
      </c>
      <c r="J11" s="16" t="s">
        <v>14</v>
      </c>
      <c r="K11" s="16" t="s">
        <v>911</v>
      </c>
      <c r="L11" s="11" t="s">
        <v>709</v>
      </c>
    </row>
    <row r="12" spans="1:12" ht="21.6" x14ac:dyDescent="0.3">
      <c r="A12" s="11">
        <f>ROW(Tabela1[[#This Row],[Toolbox No / Container No]])-1</f>
        <v>11</v>
      </c>
      <c r="B12" s="16" t="s">
        <v>298</v>
      </c>
      <c r="C12" s="3" t="s">
        <v>299</v>
      </c>
      <c r="D12" s="16" t="s">
        <v>300</v>
      </c>
      <c r="E12" s="16" t="s">
        <v>301</v>
      </c>
      <c r="F12" s="4" t="s">
        <v>302</v>
      </c>
      <c r="G12" s="14">
        <v>45772.529861111114</v>
      </c>
      <c r="H12" s="14">
        <f>EDATE(Tabela1[[#This Row],[Data da calibração/certificação ]],12)</f>
        <v>46137</v>
      </c>
      <c r="I12" s="15">
        <f ca="1">INT(Tabela1[[#This Row],[Próxima data de calibração/certificação]]-TODAY())</f>
        <v>208</v>
      </c>
      <c r="J12" s="16" t="s">
        <v>14</v>
      </c>
      <c r="K12" s="16" t="s">
        <v>912</v>
      </c>
      <c r="L12" s="11" t="s">
        <v>710</v>
      </c>
    </row>
    <row r="13" spans="1:12" ht="21.6" x14ac:dyDescent="0.3">
      <c r="A13" s="11">
        <f>ROW(Tabela1[[#This Row],[Toolbox No / Container No]])-1</f>
        <v>12</v>
      </c>
      <c r="B13" s="16" t="s">
        <v>552</v>
      </c>
      <c r="C13" s="3" t="s">
        <v>553</v>
      </c>
      <c r="D13" s="16" t="s">
        <v>554</v>
      </c>
      <c r="E13" s="16" t="s">
        <v>555</v>
      </c>
      <c r="F13" s="4" t="s">
        <v>584</v>
      </c>
      <c r="G13" s="14">
        <v>45799.381944444445</v>
      </c>
      <c r="H13" s="14">
        <f>EDATE(Tabela1[[#This Row],[Data da calibração/certificação ]],12)</f>
        <v>46164</v>
      </c>
      <c r="I13" s="15">
        <f ca="1">INT(Tabela1[[#This Row],[Próxima data de calibração/certificação]]-TODAY())</f>
        <v>235</v>
      </c>
      <c r="J13" s="16" t="s">
        <v>14</v>
      </c>
      <c r="K13" s="16" t="s">
        <v>913</v>
      </c>
      <c r="L13" s="11" t="s">
        <v>711</v>
      </c>
    </row>
    <row r="14" spans="1:12" ht="20.399999999999999" x14ac:dyDescent="0.3">
      <c r="A14" s="11">
        <f>ROW(Tabela1[[#This Row],[Toolbox No / Container No]])-1</f>
        <v>13</v>
      </c>
      <c r="B14" s="11" t="s">
        <v>81</v>
      </c>
      <c r="C14" s="2" t="s">
        <v>82</v>
      </c>
      <c r="D14" s="11" t="s">
        <v>83</v>
      </c>
      <c r="E14" s="11" t="s">
        <v>84</v>
      </c>
      <c r="F14" s="5" t="s">
        <v>85</v>
      </c>
      <c r="G14" s="13">
        <v>45805.55972222222</v>
      </c>
      <c r="H14" s="14">
        <f>EDATE(Tabela1[[#This Row],[Data da calibração/certificação ]],12)</f>
        <v>46170</v>
      </c>
      <c r="I14" s="15">
        <f ca="1">INT(Tabela1[[#This Row],[Próxima data de calibração/certificação]]-TODAY())</f>
        <v>241</v>
      </c>
      <c r="J14" s="16" t="s">
        <v>14</v>
      </c>
      <c r="K14" s="16" t="s">
        <v>914</v>
      </c>
      <c r="L14" s="11" t="s">
        <v>712</v>
      </c>
    </row>
    <row r="15" spans="1:12" ht="32.4" x14ac:dyDescent="0.3">
      <c r="A15" s="11">
        <f>ROW(Tabela1[[#This Row],[Toolbox No / Container No]])-1</f>
        <v>14</v>
      </c>
      <c r="B15" s="16" t="s">
        <v>556</v>
      </c>
      <c r="C15" s="3" t="s">
        <v>557</v>
      </c>
      <c r="D15" s="16" t="s">
        <v>558</v>
      </c>
      <c r="E15" s="16" t="s">
        <v>559</v>
      </c>
      <c r="F15" s="4" t="s">
        <v>585</v>
      </c>
      <c r="G15" s="14">
        <v>45624.385416666664</v>
      </c>
      <c r="H15" s="14">
        <f>EDATE(Tabela1[[#This Row],[Data da calibração/certificação ]],12)</f>
        <v>45989</v>
      </c>
      <c r="I15" s="15">
        <f ca="1">INT(Tabela1[[#This Row],[Próxima data de calibração/certificação]]-TODAY())</f>
        <v>60</v>
      </c>
      <c r="J15" s="16" t="s">
        <v>14</v>
      </c>
      <c r="K15" s="16" t="s">
        <v>915</v>
      </c>
      <c r="L15" s="11" t="s">
        <v>713</v>
      </c>
    </row>
    <row r="16" spans="1:12" ht="20.399999999999999" x14ac:dyDescent="0.3">
      <c r="A16" s="11">
        <f>ROW(Tabela1[[#This Row],[Toolbox No / Container No]])-1</f>
        <v>15</v>
      </c>
      <c r="B16" s="16" t="s">
        <v>294</v>
      </c>
      <c r="C16" s="3" t="s">
        <v>141</v>
      </c>
      <c r="D16" s="16" t="s">
        <v>142</v>
      </c>
      <c r="E16" s="16" t="s">
        <v>295</v>
      </c>
      <c r="F16" s="4" t="s">
        <v>523</v>
      </c>
      <c r="G16" s="14">
        <v>45791.481944444444</v>
      </c>
      <c r="H16" s="14">
        <f>EDATE(Tabela1[[#This Row],[Data da calibração/certificação ]],12)</f>
        <v>46156</v>
      </c>
      <c r="I16" s="15">
        <f ca="1">INT(Tabela1[[#This Row],[Próxima data de calibração/certificação]]-TODAY())</f>
        <v>227</v>
      </c>
      <c r="J16" s="16" t="s">
        <v>14</v>
      </c>
      <c r="K16" s="16" t="s">
        <v>916</v>
      </c>
      <c r="L16" s="17" t="s">
        <v>714</v>
      </c>
    </row>
    <row r="17" spans="1:12" ht="20.399999999999999" x14ac:dyDescent="0.3">
      <c r="A17" s="11">
        <f>ROW(Tabela1[[#This Row],[Toolbox No / Container No]])-1</f>
        <v>16</v>
      </c>
      <c r="B17" s="16" t="s">
        <v>296</v>
      </c>
      <c r="C17" s="3" t="s">
        <v>141</v>
      </c>
      <c r="D17" s="16" t="s">
        <v>142</v>
      </c>
      <c r="E17" s="16" t="s">
        <v>297</v>
      </c>
      <c r="F17" s="4" t="s">
        <v>524</v>
      </c>
      <c r="G17" s="14">
        <v>45791.638194444444</v>
      </c>
      <c r="H17" s="14">
        <f>EDATE(Tabela1[[#This Row],[Data da calibração/certificação ]],12)</f>
        <v>46156</v>
      </c>
      <c r="I17" s="15">
        <f ca="1">INT(Tabela1[[#This Row],[Próxima data de calibração/certificação]]-TODAY())</f>
        <v>227</v>
      </c>
      <c r="J17" s="16" t="s">
        <v>14</v>
      </c>
      <c r="K17" s="16" t="s">
        <v>916</v>
      </c>
      <c r="L17" s="11" t="s">
        <v>715</v>
      </c>
    </row>
    <row r="18" spans="1:12" ht="20.399999999999999" x14ac:dyDescent="0.3">
      <c r="A18" s="11">
        <f>ROW(Tabela1[[#This Row],[Toolbox No / Container No]])-1</f>
        <v>17</v>
      </c>
      <c r="B18" s="11" t="s">
        <v>140</v>
      </c>
      <c r="C18" s="2" t="s">
        <v>141</v>
      </c>
      <c r="D18" s="11" t="s">
        <v>142</v>
      </c>
      <c r="E18" s="11" t="s">
        <v>143</v>
      </c>
      <c r="F18" s="5" t="s">
        <v>144</v>
      </c>
      <c r="G18" s="13">
        <v>45841.67291666667</v>
      </c>
      <c r="H18" s="14">
        <f>EDATE(Tabela1[[#This Row],[Data da calibração/certificação ]],12)</f>
        <v>46206</v>
      </c>
      <c r="I18" s="15">
        <f ca="1">INT(Tabela1[[#This Row],[Próxima data de calibração/certificação]]-TODAY())</f>
        <v>277</v>
      </c>
      <c r="J18" s="16" t="s">
        <v>14</v>
      </c>
      <c r="K18" s="16" t="s">
        <v>916</v>
      </c>
      <c r="L18" s="11" t="s">
        <v>716</v>
      </c>
    </row>
    <row r="19" spans="1:12" ht="21.6" x14ac:dyDescent="0.3">
      <c r="A19" s="11">
        <f>ROW(Tabela1[[#This Row],[Toolbox No / Container No]])-1</f>
        <v>18</v>
      </c>
      <c r="B19" s="16" t="s">
        <v>319</v>
      </c>
      <c r="C19" s="3" t="s">
        <v>141</v>
      </c>
      <c r="D19" s="16" t="s">
        <v>320</v>
      </c>
      <c r="E19" s="16" t="s">
        <v>321</v>
      </c>
      <c r="F19" s="1" t="s">
        <v>322</v>
      </c>
      <c r="G19" s="14">
        <v>45835.673611111109</v>
      </c>
      <c r="H19" s="14">
        <f>EDATE(Tabela1[[#This Row],[Data da calibração/certificação ]],12)</f>
        <v>46200</v>
      </c>
      <c r="I19" s="15">
        <f ca="1">INT(Tabela1[[#This Row],[Próxima data de calibração/certificação]]-TODAY())</f>
        <v>271</v>
      </c>
      <c r="J19" s="16" t="s">
        <v>14</v>
      </c>
      <c r="K19" s="16" t="s">
        <v>916</v>
      </c>
      <c r="L19" s="11" t="s">
        <v>717</v>
      </c>
    </row>
    <row r="20" spans="1:12" ht="20.399999999999999" x14ac:dyDescent="0.3">
      <c r="A20" s="11">
        <f>ROW(Tabela1[[#This Row],[Toolbox No / Container No]])-1</f>
        <v>19</v>
      </c>
      <c r="B20" s="11" t="s">
        <v>427</v>
      </c>
      <c r="C20" s="2" t="s">
        <v>141</v>
      </c>
      <c r="D20" s="11" t="s">
        <v>428</v>
      </c>
      <c r="E20" s="11" t="s">
        <v>321</v>
      </c>
      <c r="F20" s="5" t="s">
        <v>429</v>
      </c>
      <c r="G20" s="13">
        <v>45835.673611111109</v>
      </c>
      <c r="H20" s="14">
        <f>EDATE(Tabela1[[#This Row],[Data da calibração/certificação ]],12)</f>
        <v>46200</v>
      </c>
      <c r="I20" s="15">
        <f ca="1">INT(Tabela1[[#This Row],[Próxima data de calibração/certificação]]-TODAY())</f>
        <v>271</v>
      </c>
      <c r="J20" s="16" t="s">
        <v>14</v>
      </c>
      <c r="K20" s="16" t="s">
        <v>916</v>
      </c>
      <c r="L20" s="11" t="s">
        <v>718</v>
      </c>
    </row>
    <row r="21" spans="1:12" x14ac:dyDescent="0.3">
      <c r="A21" s="11">
        <f>ROW(Tabela1[[#This Row],[Toolbox No / Container No]])-1</f>
        <v>20</v>
      </c>
      <c r="B21" s="16" t="s">
        <v>511</v>
      </c>
      <c r="C21" s="3" t="s">
        <v>512</v>
      </c>
      <c r="D21" s="16" t="s">
        <v>461</v>
      </c>
      <c r="E21" s="16"/>
      <c r="F21" s="6" t="s">
        <v>543</v>
      </c>
      <c r="G21" s="14">
        <v>45671.420138888891</v>
      </c>
      <c r="H21" s="14">
        <f>EDATE(Tabela1[[#This Row],[Data da calibração/certificação ]],12)</f>
        <v>46036</v>
      </c>
      <c r="I21" s="15">
        <f ca="1">INT(Tabela1[[#This Row],[Próxima data de calibração/certificação]]-TODAY())</f>
        <v>107</v>
      </c>
      <c r="J21" s="16" t="s">
        <v>14</v>
      </c>
      <c r="K21" s="16" t="s">
        <v>917</v>
      </c>
      <c r="L21" s="11" t="s">
        <v>719</v>
      </c>
    </row>
    <row r="22" spans="1:12" x14ac:dyDescent="0.3">
      <c r="A22" s="11">
        <f>ROW(Tabela1[[#This Row],[Toolbox No / Container No]])-1</f>
        <v>21</v>
      </c>
      <c r="B22" s="11" t="s">
        <v>455</v>
      </c>
      <c r="C22" s="2" t="s">
        <v>456</v>
      </c>
      <c r="D22" s="11" t="s">
        <v>457</v>
      </c>
      <c r="F22" s="5" t="s">
        <v>458</v>
      </c>
      <c r="G22" s="13">
        <v>45730.418749999997</v>
      </c>
      <c r="H22" s="14">
        <f>EDATE(Tabela1[[#This Row],[Data da calibração/certificação ]],12)</f>
        <v>46095</v>
      </c>
      <c r="I22" s="15">
        <f ca="1">INT(Tabela1[[#This Row],[Próxima data de calibração/certificação]]-TODAY())</f>
        <v>166</v>
      </c>
      <c r="J22" s="16" t="s">
        <v>14</v>
      </c>
      <c r="K22" s="16" t="s">
        <v>917</v>
      </c>
      <c r="L22" s="11" t="s">
        <v>720</v>
      </c>
    </row>
    <row r="23" spans="1:12" x14ac:dyDescent="0.3">
      <c r="A23" s="11">
        <f>ROW(Tabela1[[#This Row],[Toolbox No / Container No]])-1</f>
        <v>22</v>
      </c>
      <c r="B23" s="11" t="s">
        <v>459</v>
      </c>
      <c r="C23" s="2" t="s">
        <v>460</v>
      </c>
      <c r="D23" s="11" t="s">
        <v>461</v>
      </c>
      <c r="F23" s="5" t="s">
        <v>462</v>
      </c>
      <c r="G23" s="13">
        <v>45671.425000000003</v>
      </c>
      <c r="H23" s="14">
        <f>EDATE(Tabela1[[#This Row],[Data da calibração/certificação ]],12)</f>
        <v>46036</v>
      </c>
      <c r="I23" s="15">
        <f ca="1">INT(Tabela1[[#This Row],[Próxima data de calibração/certificação]]-TODAY())</f>
        <v>107</v>
      </c>
      <c r="J23" s="16" t="s">
        <v>14</v>
      </c>
      <c r="K23" s="16" t="s">
        <v>917</v>
      </c>
      <c r="L23" s="11" t="s">
        <v>721</v>
      </c>
    </row>
    <row r="24" spans="1:12" x14ac:dyDescent="0.3">
      <c r="A24" s="11">
        <f>ROW(Tabela1[[#This Row],[Toolbox No / Container No]])-1</f>
        <v>23</v>
      </c>
      <c r="B24" s="16" t="s">
        <v>508</v>
      </c>
      <c r="C24" s="3" t="s">
        <v>509</v>
      </c>
      <c r="D24" s="16" t="s">
        <v>461</v>
      </c>
      <c r="E24" s="16"/>
      <c r="F24" s="6" t="s">
        <v>541</v>
      </c>
      <c r="G24" s="14">
        <v>45670.419444444444</v>
      </c>
      <c r="H24" s="14">
        <f>EDATE(Tabela1[[#This Row],[Data da calibração/certificação ]],12)</f>
        <v>46035</v>
      </c>
      <c r="I24" s="15">
        <f ca="1">INT(Tabela1[[#This Row],[Próxima data de calibração/certificação]]-TODAY())</f>
        <v>106</v>
      </c>
      <c r="J24" s="16" t="s">
        <v>14</v>
      </c>
      <c r="K24" s="16" t="s">
        <v>917</v>
      </c>
      <c r="L24" s="11" t="s">
        <v>722</v>
      </c>
    </row>
    <row r="25" spans="1:12" ht="20.399999999999999" x14ac:dyDescent="0.3">
      <c r="A25" s="11">
        <f>ROW(Tabela1[[#This Row],[Toolbox No / Container No]])-1</f>
        <v>24</v>
      </c>
      <c r="B25" s="16" t="s">
        <v>510</v>
      </c>
      <c r="C25" s="3" t="s">
        <v>509</v>
      </c>
      <c r="D25" s="16" t="s">
        <v>461</v>
      </c>
      <c r="E25" s="16"/>
      <c r="F25" s="6" t="s">
        <v>542</v>
      </c>
      <c r="G25" s="14">
        <v>45670</v>
      </c>
      <c r="H25" s="14">
        <f>EDATE(Tabela1[[#This Row],[Data da calibração/certificação ]],12)</f>
        <v>46035</v>
      </c>
      <c r="I25" s="15">
        <f ca="1">INT(Tabela1[[#This Row],[Próxima data de calibração/certificação]]-TODAY())</f>
        <v>106</v>
      </c>
      <c r="J25" s="16" t="s">
        <v>14</v>
      </c>
      <c r="K25" s="16" t="s">
        <v>917</v>
      </c>
      <c r="L25" s="11" t="s">
        <v>723</v>
      </c>
    </row>
    <row r="26" spans="1:12" ht="20.399999999999999" x14ac:dyDescent="0.3">
      <c r="A26" s="11">
        <f>ROW(Tabela1[[#This Row],[Toolbox No / Container No]])-1</f>
        <v>25</v>
      </c>
      <c r="B26" s="16" t="s">
        <v>515</v>
      </c>
      <c r="C26" s="3" t="s">
        <v>87</v>
      </c>
      <c r="D26" s="16" t="s">
        <v>88</v>
      </c>
      <c r="E26" s="16"/>
      <c r="F26" s="6" t="s">
        <v>545</v>
      </c>
      <c r="G26" s="14">
        <v>45803.464583333334</v>
      </c>
      <c r="H26" s="14">
        <f>EDATE(Tabela1[[#This Row],[Data da calibração/certificação ]],12)</f>
        <v>46168</v>
      </c>
      <c r="I26" s="15">
        <f ca="1">INT(Tabela1[[#This Row],[Próxima data de calibração/certificação]]-TODAY())</f>
        <v>239</v>
      </c>
      <c r="J26" s="16" t="s">
        <v>14</v>
      </c>
      <c r="K26" s="16" t="s">
        <v>917</v>
      </c>
      <c r="L26" s="11" t="s">
        <v>724</v>
      </c>
    </row>
    <row r="27" spans="1:12" ht="20.399999999999999" x14ac:dyDescent="0.3">
      <c r="A27" s="11">
        <f>ROW(Tabela1[[#This Row],[Toolbox No / Container No]])-1</f>
        <v>26</v>
      </c>
      <c r="B27" s="11" t="s">
        <v>86</v>
      </c>
      <c r="C27" s="2" t="s">
        <v>87</v>
      </c>
      <c r="D27" s="11" t="s">
        <v>88</v>
      </c>
      <c r="F27" s="5" t="s">
        <v>89</v>
      </c>
      <c r="G27" s="13">
        <v>45803.421527777777</v>
      </c>
      <c r="H27" s="14">
        <f>EDATE(Tabela1[[#This Row],[Data da calibração/certificação ]],12)</f>
        <v>46168</v>
      </c>
      <c r="I27" s="15">
        <f ca="1">INT(Tabela1[[#This Row],[Próxima data de calibração/certificação]]-TODAY())</f>
        <v>239</v>
      </c>
      <c r="J27" s="16" t="s">
        <v>14</v>
      </c>
      <c r="K27" s="16" t="s">
        <v>917</v>
      </c>
      <c r="L27" s="11" t="s">
        <v>725</v>
      </c>
    </row>
    <row r="28" spans="1:12" ht="20.399999999999999" x14ac:dyDescent="0.3">
      <c r="A28" s="11">
        <f>ROW(Tabela1[[#This Row],[Toolbox No / Container No]])-1</f>
        <v>27</v>
      </c>
      <c r="B28" s="16" t="s">
        <v>516</v>
      </c>
      <c r="C28" s="3" t="s">
        <v>464</v>
      </c>
      <c r="D28" s="16" t="s">
        <v>461</v>
      </c>
      <c r="E28" s="16"/>
      <c r="F28" s="6" t="s">
        <v>546</v>
      </c>
      <c r="G28" s="14">
        <v>45803.411805555559</v>
      </c>
      <c r="H28" s="14">
        <f>EDATE(Tabela1[[#This Row],[Data da calibração/certificação ]],12)</f>
        <v>46168</v>
      </c>
      <c r="I28" s="15">
        <f ca="1">INT(Tabela1[[#This Row],[Próxima data de calibração/certificação]]-TODAY())</f>
        <v>239</v>
      </c>
      <c r="J28" s="16" t="s">
        <v>14</v>
      </c>
      <c r="K28" s="16" t="s">
        <v>917</v>
      </c>
      <c r="L28" s="11" t="s">
        <v>726</v>
      </c>
    </row>
    <row r="29" spans="1:12" x14ac:dyDescent="0.3">
      <c r="A29" s="11">
        <f>ROW(Tabela1[[#This Row],[Toolbox No / Container No]])-1</f>
        <v>28</v>
      </c>
      <c r="B29" s="16" t="s">
        <v>517</v>
      </c>
      <c r="C29" s="3" t="s">
        <v>464</v>
      </c>
      <c r="D29" s="16" t="s">
        <v>518</v>
      </c>
      <c r="E29" s="16"/>
      <c r="F29" s="6" t="s">
        <v>547</v>
      </c>
      <c r="G29" s="14">
        <v>45671.423611111109</v>
      </c>
      <c r="H29" s="14">
        <f>EDATE(Tabela1[[#This Row],[Data da calibração/certificação ]],12)</f>
        <v>46036</v>
      </c>
      <c r="I29" s="15">
        <f ca="1">INT(Tabela1[[#This Row],[Próxima data de calibração/certificação]]-TODAY())</f>
        <v>107</v>
      </c>
      <c r="J29" s="16" t="s">
        <v>14</v>
      </c>
      <c r="K29" s="16" t="s">
        <v>917</v>
      </c>
      <c r="L29" s="11" t="s">
        <v>727</v>
      </c>
    </row>
    <row r="30" spans="1:12" x14ac:dyDescent="0.3">
      <c r="A30" s="11">
        <f>ROW(Tabela1[[#This Row],[Toolbox No / Container No]])-1</f>
        <v>29</v>
      </c>
      <c r="B30" s="11" t="s">
        <v>463</v>
      </c>
      <c r="C30" s="2" t="s">
        <v>464</v>
      </c>
      <c r="D30" s="11" t="s">
        <v>457</v>
      </c>
      <c r="F30" s="5" t="s">
        <v>465</v>
      </c>
      <c r="G30" s="13">
        <v>45803.42291666667</v>
      </c>
      <c r="H30" s="14">
        <f>EDATE(Tabela1[[#This Row],[Data da calibração/certificação ]],12)</f>
        <v>46168</v>
      </c>
      <c r="I30" s="15">
        <f ca="1">INT(Tabela1[[#This Row],[Próxima data de calibração/certificação]]-TODAY())</f>
        <v>239</v>
      </c>
      <c r="J30" s="16" t="s">
        <v>14</v>
      </c>
      <c r="K30" s="16" t="s">
        <v>917</v>
      </c>
      <c r="L30" s="11" t="s">
        <v>728</v>
      </c>
    </row>
    <row r="31" spans="1:12" x14ac:dyDescent="0.3">
      <c r="A31" s="11">
        <f>ROW(Tabela1[[#This Row],[Toolbox No / Container No]])-1</f>
        <v>30</v>
      </c>
      <c r="B31" s="11" t="s">
        <v>466</v>
      </c>
      <c r="C31" s="2" t="s">
        <v>467</v>
      </c>
      <c r="D31" s="11" t="s">
        <v>88</v>
      </c>
      <c r="F31" s="5" t="s">
        <v>468</v>
      </c>
      <c r="G31" s="13">
        <v>45670.661111111112</v>
      </c>
      <c r="H31" s="14">
        <f>EDATE(Tabela1[[#This Row],[Data da calibração/certificação ]],12)</f>
        <v>46035</v>
      </c>
      <c r="I31" s="15">
        <f ca="1">INT(Tabela1[[#This Row],[Próxima data de calibração/certificação]]-TODAY())</f>
        <v>106</v>
      </c>
      <c r="J31" s="16" t="s">
        <v>14</v>
      </c>
      <c r="K31" s="16" t="s">
        <v>917</v>
      </c>
      <c r="L31" s="11" t="s">
        <v>729</v>
      </c>
    </row>
    <row r="32" spans="1:12" x14ac:dyDescent="0.3">
      <c r="A32" s="11">
        <f>ROW(Tabela1[[#This Row],[Toolbox No / Container No]])-1</f>
        <v>31</v>
      </c>
      <c r="B32" s="16" t="s">
        <v>519</v>
      </c>
      <c r="C32" s="3" t="s">
        <v>470</v>
      </c>
      <c r="D32" s="16" t="s">
        <v>457</v>
      </c>
      <c r="E32" s="16"/>
      <c r="F32" s="6" t="s">
        <v>548</v>
      </c>
      <c r="G32" s="14">
        <v>45803.447916666664</v>
      </c>
      <c r="H32" s="14">
        <f>EDATE(Tabela1[[#This Row],[Data da calibração/certificação ]],12)</f>
        <v>46168</v>
      </c>
      <c r="I32" s="15">
        <f ca="1">INT(Tabela1[[#This Row],[Próxima data de calibração/certificação]]-TODAY())</f>
        <v>239</v>
      </c>
      <c r="J32" s="16" t="s">
        <v>14</v>
      </c>
      <c r="K32" s="16" t="s">
        <v>917</v>
      </c>
      <c r="L32" s="11" t="s">
        <v>730</v>
      </c>
    </row>
    <row r="33" spans="1:12" x14ac:dyDescent="0.3">
      <c r="A33" s="11">
        <f>ROW(Tabela1[[#This Row],[Toolbox No / Container No]])-1</f>
        <v>32</v>
      </c>
      <c r="B33" s="16" t="s">
        <v>520</v>
      </c>
      <c r="C33" s="3" t="s">
        <v>470</v>
      </c>
      <c r="D33" s="16" t="s">
        <v>457</v>
      </c>
      <c r="E33" s="16"/>
      <c r="F33" s="6" t="s">
        <v>549</v>
      </c>
      <c r="G33" s="14">
        <v>45714.445833333331</v>
      </c>
      <c r="H33" s="14">
        <f>EDATE(Tabela1[[#This Row],[Data da calibração/certificação ]],12)</f>
        <v>46079</v>
      </c>
      <c r="I33" s="15">
        <f ca="1">INT(Tabela1[[#This Row],[Próxima data de calibração/certificação]]-TODAY())</f>
        <v>150</v>
      </c>
      <c r="J33" s="16" t="s">
        <v>14</v>
      </c>
      <c r="K33" s="16" t="s">
        <v>917</v>
      </c>
      <c r="L33" s="11" t="s">
        <v>731</v>
      </c>
    </row>
    <row r="34" spans="1:12" x14ac:dyDescent="0.3">
      <c r="A34" s="11">
        <f>ROW(Tabela1[[#This Row],[Toolbox No / Container No]])-1</f>
        <v>33</v>
      </c>
      <c r="B34" s="11" t="s">
        <v>469</v>
      </c>
      <c r="C34" s="2" t="s">
        <v>470</v>
      </c>
      <c r="D34" s="11" t="s">
        <v>457</v>
      </c>
      <c r="F34" s="5" t="s">
        <v>471</v>
      </c>
      <c r="G34" s="13">
        <v>45670.434027777781</v>
      </c>
      <c r="H34" s="14">
        <f>EDATE(Tabela1[[#This Row],[Data da calibração/certificação ]],12)</f>
        <v>46035</v>
      </c>
      <c r="I34" s="15">
        <f ca="1">INT(Tabela1[[#This Row],[Próxima data de calibração/certificação]]-TODAY())</f>
        <v>106</v>
      </c>
      <c r="J34" s="16" t="s">
        <v>14</v>
      </c>
      <c r="K34" s="16" t="s">
        <v>917</v>
      </c>
      <c r="L34" s="11" t="s">
        <v>732</v>
      </c>
    </row>
    <row r="35" spans="1:12" x14ac:dyDescent="0.3">
      <c r="A35" s="11">
        <f>ROW(Tabela1[[#This Row],[Toolbox No / Container No]])-1</f>
        <v>34</v>
      </c>
      <c r="B35" s="11" t="s">
        <v>472</v>
      </c>
      <c r="C35" s="2" t="s">
        <v>470</v>
      </c>
      <c r="D35" s="11" t="s">
        <v>473</v>
      </c>
      <c r="F35" s="5" t="s">
        <v>474</v>
      </c>
      <c r="G35" s="13">
        <v>45674.628472222219</v>
      </c>
      <c r="H35" s="14">
        <f>EDATE(Tabela1[[#This Row],[Data da calibração/certificação ]],12)</f>
        <v>46039</v>
      </c>
      <c r="I35" s="15">
        <f ca="1">INT(Tabela1[[#This Row],[Próxima data de calibração/certificação]]-TODAY())</f>
        <v>110</v>
      </c>
      <c r="J35" s="16" t="s">
        <v>14</v>
      </c>
      <c r="K35" s="16" t="s">
        <v>917</v>
      </c>
      <c r="L35" s="11" t="s">
        <v>733</v>
      </c>
    </row>
    <row r="36" spans="1:12" x14ac:dyDescent="0.3">
      <c r="A36" s="11">
        <f>ROW(Tabela1[[#This Row],[Toolbox No / Container No]])-1</f>
        <v>35</v>
      </c>
      <c r="B36" s="11" t="s">
        <v>475</v>
      </c>
      <c r="C36" s="2" t="s">
        <v>470</v>
      </c>
      <c r="D36" s="11" t="s">
        <v>461</v>
      </c>
      <c r="F36" s="5" t="s">
        <v>476</v>
      </c>
      <c r="G36" s="13">
        <v>45714.450694444444</v>
      </c>
      <c r="H36" s="14">
        <f>EDATE(Tabela1[[#This Row],[Data da calibração/certificação ]],12)</f>
        <v>46079</v>
      </c>
      <c r="I36" s="15">
        <f ca="1">INT(Tabela1[[#This Row],[Próxima data de calibração/certificação]]-TODAY())</f>
        <v>150</v>
      </c>
      <c r="J36" s="16" t="s">
        <v>14</v>
      </c>
      <c r="K36" s="16" t="s">
        <v>917</v>
      </c>
      <c r="L36" s="11" t="s">
        <v>734</v>
      </c>
    </row>
    <row r="37" spans="1:12" x14ac:dyDescent="0.3">
      <c r="A37" s="11">
        <f>ROW(Tabela1[[#This Row],[Toolbox No / Container No]])-1</f>
        <v>36</v>
      </c>
      <c r="B37" s="11" t="s">
        <v>477</v>
      </c>
      <c r="C37" s="2" t="s">
        <v>470</v>
      </c>
      <c r="D37" s="11" t="s">
        <v>478</v>
      </c>
      <c r="F37" s="5" t="s">
        <v>479</v>
      </c>
      <c r="G37" s="13">
        <v>45803.436111111114</v>
      </c>
      <c r="H37" s="14">
        <f>EDATE(Tabela1[[#This Row],[Data da calibração/certificação ]],12)</f>
        <v>46168</v>
      </c>
      <c r="I37" s="15">
        <f ca="1">INT(Tabela1[[#This Row],[Próxima data de calibração/certificação]]-TODAY())</f>
        <v>239</v>
      </c>
      <c r="J37" s="16" t="s">
        <v>14</v>
      </c>
      <c r="K37" s="16" t="s">
        <v>917</v>
      </c>
      <c r="L37" s="11" t="s">
        <v>735</v>
      </c>
    </row>
    <row r="38" spans="1:12" ht="20.399999999999999" x14ac:dyDescent="0.3">
      <c r="A38" s="11">
        <f>ROW(Tabela1[[#This Row],[Toolbox No / Container No]])-1</f>
        <v>37</v>
      </c>
      <c r="B38" s="16" t="s">
        <v>513</v>
      </c>
      <c r="C38" s="3" t="s">
        <v>514</v>
      </c>
      <c r="D38" s="16" t="s">
        <v>444</v>
      </c>
      <c r="E38" s="16"/>
      <c r="F38" s="6" t="s">
        <v>544</v>
      </c>
      <c r="G38" s="14">
        <v>45670.447916666664</v>
      </c>
      <c r="H38" s="14">
        <f>EDATE(Tabela1[[#This Row],[Data da calibração/certificação ]],12)</f>
        <v>46035</v>
      </c>
      <c r="I38" s="15">
        <f ca="1">INT(Tabela1[[#This Row],[Próxima data de calibração/certificação]]-TODAY())</f>
        <v>106</v>
      </c>
      <c r="J38" s="16" t="s">
        <v>14</v>
      </c>
      <c r="K38" s="16" t="s">
        <v>917</v>
      </c>
      <c r="L38" s="11" t="s">
        <v>736</v>
      </c>
    </row>
    <row r="39" spans="1:12" x14ac:dyDescent="0.3">
      <c r="A39" s="11">
        <f>ROW(Tabela1[[#This Row],[Toolbox No / Container No]])-1</f>
        <v>38</v>
      </c>
      <c r="B39" s="16" t="s">
        <v>506</v>
      </c>
      <c r="C39" s="3" t="s">
        <v>507</v>
      </c>
      <c r="D39" s="16" t="s">
        <v>444</v>
      </c>
      <c r="E39" s="16"/>
      <c r="F39" s="6" t="s">
        <v>540</v>
      </c>
      <c r="G39" s="14">
        <v>45675.344444444447</v>
      </c>
      <c r="H39" s="14">
        <f>EDATE(Tabela1[[#This Row],[Data da calibração/certificação ]],12)</f>
        <v>46040</v>
      </c>
      <c r="I39" s="15">
        <f ca="1">INT(Tabela1[[#This Row],[Próxima data de calibração/certificação]]-TODAY())</f>
        <v>111</v>
      </c>
      <c r="J39" s="16" t="s">
        <v>14</v>
      </c>
      <c r="K39" s="16" t="s">
        <v>917</v>
      </c>
      <c r="L39" s="11" t="s">
        <v>737</v>
      </c>
    </row>
    <row r="40" spans="1:12" ht="20.399999999999999" x14ac:dyDescent="0.3">
      <c r="A40" s="11">
        <f>ROW(Tabela1[[#This Row],[Toolbox No / Container No]])-1</f>
        <v>39</v>
      </c>
      <c r="B40" s="11" t="s">
        <v>184</v>
      </c>
      <c r="C40" s="2" t="s">
        <v>185</v>
      </c>
      <c r="D40" s="11" t="s">
        <v>186</v>
      </c>
      <c r="F40" s="6" t="s">
        <v>187</v>
      </c>
      <c r="G40" s="13">
        <v>45904</v>
      </c>
      <c r="H40" s="14">
        <f>EDATE(Tabela1[[#This Row],[Data da calibração/certificação ]],12)</f>
        <v>46269</v>
      </c>
      <c r="I40" s="15">
        <f ca="1">INT(Tabela1[[#This Row],[Próxima data de calibração/certificação]]-TODAY())</f>
        <v>340</v>
      </c>
      <c r="J40" s="16" t="s">
        <v>14</v>
      </c>
      <c r="K40" s="16" t="s">
        <v>917</v>
      </c>
      <c r="L40" s="11" t="s">
        <v>738</v>
      </c>
    </row>
    <row r="41" spans="1:12" ht="20.399999999999999" x14ac:dyDescent="0.3">
      <c r="A41" s="11">
        <f>ROW(Tabela1[[#This Row],[Toolbox No / Container No]])-1</f>
        <v>40</v>
      </c>
      <c r="B41" s="11" t="s">
        <v>188</v>
      </c>
      <c r="C41" s="2" t="s">
        <v>185</v>
      </c>
      <c r="D41" s="11" t="s">
        <v>186</v>
      </c>
      <c r="F41" s="6" t="s">
        <v>189</v>
      </c>
      <c r="G41" s="13">
        <v>45904</v>
      </c>
      <c r="H41" s="14">
        <f>EDATE(Tabela1[[#This Row],[Data da calibração/certificação ]],12)</f>
        <v>46269</v>
      </c>
      <c r="I41" s="15">
        <f ca="1">INT(Tabela1[[#This Row],[Próxima data de calibração/certificação]]-TODAY())</f>
        <v>340</v>
      </c>
      <c r="J41" s="16" t="s">
        <v>14</v>
      </c>
      <c r="K41" s="16" t="s">
        <v>918</v>
      </c>
      <c r="L41" s="11" t="s">
        <v>739</v>
      </c>
    </row>
    <row r="42" spans="1:12" ht="20.399999999999999" x14ac:dyDescent="0.3">
      <c r="A42" s="11">
        <f>ROW(Tabela1[[#This Row],[Toolbox No / Container No]])-1</f>
        <v>41</v>
      </c>
      <c r="B42" s="11" t="s">
        <v>190</v>
      </c>
      <c r="C42" s="2" t="s">
        <v>191</v>
      </c>
      <c r="D42" s="11" t="s">
        <v>192</v>
      </c>
      <c r="F42" s="6" t="s">
        <v>193</v>
      </c>
      <c r="G42" s="13">
        <v>45904</v>
      </c>
      <c r="H42" s="14">
        <f>EDATE(Tabela1[[#This Row],[Data da calibração/certificação ]],12)</f>
        <v>46269</v>
      </c>
      <c r="I42" s="15">
        <f ca="1">INT(Tabela1[[#This Row],[Próxima data de calibração/certificação]]-TODAY())</f>
        <v>340</v>
      </c>
      <c r="J42" s="16" t="s">
        <v>14</v>
      </c>
      <c r="K42" s="16" t="s">
        <v>918</v>
      </c>
      <c r="L42" s="11" t="s">
        <v>740</v>
      </c>
    </row>
    <row r="43" spans="1:12" ht="20.399999999999999" x14ac:dyDescent="0.3">
      <c r="A43" s="11">
        <f>ROW(Tabela1[[#This Row],[Toolbox No / Container No]])-1</f>
        <v>42</v>
      </c>
      <c r="B43" s="16" t="s">
        <v>577</v>
      </c>
      <c r="C43" s="3" t="s">
        <v>578</v>
      </c>
      <c r="D43" s="16" t="s">
        <v>579</v>
      </c>
      <c r="E43" s="16" t="s">
        <v>580</v>
      </c>
      <c r="F43" s="4" t="s">
        <v>592</v>
      </c>
      <c r="G43" s="14">
        <v>45747</v>
      </c>
      <c r="H43" s="14">
        <f>EDATE(Tabela1[[#This Row],[Data da calibração/certificação ]],12)</f>
        <v>46112</v>
      </c>
      <c r="I43" s="15">
        <f ca="1">INT(Tabela1[[#This Row],[Próxima data de calibração/certificação]]-TODAY())</f>
        <v>183</v>
      </c>
      <c r="J43" s="16" t="s">
        <v>14</v>
      </c>
      <c r="K43" s="16" t="s">
        <v>919</v>
      </c>
      <c r="L43" s="11" t="s">
        <v>741</v>
      </c>
    </row>
    <row r="44" spans="1:12" ht="20.399999999999999" x14ac:dyDescent="0.3">
      <c r="A44" s="11">
        <f>ROW(Tabela1[[#This Row],[Toolbox No / Container No]])-1</f>
        <v>43</v>
      </c>
      <c r="B44" s="11" t="s">
        <v>150</v>
      </c>
      <c r="C44" s="2" t="s">
        <v>151</v>
      </c>
      <c r="D44" s="11" t="s">
        <v>152</v>
      </c>
      <c r="F44" s="5" t="s">
        <v>153</v>
      </c>
      <c r="G44" s="13">
        <v>45841.645833333336</v>
      </c>
      <c r="H44" s="14">
        <f>EDATE(Tabela1[[#This Row],[Data da calibração/certificação ]],12)</f>
        <v>46206</v>
      </c>
      <c r="I44" s="15">
        <f ca="1">INT(Tabela1[[#This Row],[Próxima data de calibração/certificação]]-TODAY())</f>
        <v>277</v>
      </c>
      <c r="J44" s="16" t="s">
        <v>14</v>
      </c>
      <c r="K44" s="16" t="s">
        <v>920</v>
      </c>
      <c r="L44" s="11" t="s">
        <v>742</v>
      </c>
    </row>
    <row r="45" spans="1:12" ht="20.399999999999999" x14ac:dyDescent="0.3">
      <c r="A45" s="11">
        <f>ROW(Tabela1[[#This Row],[Toolbox No / Container No]])-1</f>
        <v>44</v>
      </c>
      <c r="B45" s="16" t="s">
        <v>327</v>
      </c>
      <c r="C45" s="3" t="s">
        <v>328</v>
      </c>
      <c r="D45" s="16" t="s">
        <v>329</v>
      </c>
      <c r="E45" s="16"/>
      <c r="F45" s="6" t="s">
        <v>550</v>
      </c>
      <c r="G45" s="14">
        <v>45789.666666666664</v>
      </c>
      <c r="H45" s="14">
        <f>EDATE(Tabela1[[#This Row],[Data da calibração/certificação ]],12)</f>
        <v>46154</v>
      </c>
      <c r="I45" s="15">
        <f ca="1">INT(Tabela1[[#This Row],[Próxima data de calibração/certificação]]-TODAY())</f>
        <v>225</v>
      </c>
      <c r="J45" s="16" t="s">
        <v>14</v>
      </c>
      <c r="K45" s="16" t="s">
        <v>920</v>
      </c>
      <c r="L45" s="11" t="s">
        <v>743</v>
      </c>
    </row>
    <row r="46" spans="1:12" ht="20.399999999999999" x14ac:dyDescent="0.3">
      <c r="A46" s="11">
        <f>ROW(Tabela1[[#This Row],[Toolbox No / Container No]])-1</f>
        <v>45</v>
      </c>
      <c r="B46" s="16" t="s">
        <v>330</v>
      </c>
      <c r="C46" s="3" t="s">
        <v>331</v>
      </c>
      <c r="D46" s="16" t="s">
        <v>152</v>
      </c>
      <c r="E46" s="16"/>
      <c r="F46" s="6" t="s">
        <v>551</v>
      </c>
      <c r="G46" s="14">
        <v>45789.588194444441</v>
      </c>
      <c r="H46" s="14">
        <f>EDATE(Tabela1[[#This Row],[Data da calibração/certificação ]],12)</f>
        <v>46154</v>
      </c>
      <c r="I46" s="15">
        <f ca="1">INT(Tabela1[[#This Row],[Próxima data de calibração/certificação]]-TODAY())</f>
        <v>225</v>
      </c>
      <c r="J46" s="16" t="s">
        <v>14</v>
      </c>
      <c r="K46" s="16" t="s">
        <v>920</v>
      </c>
      <c r="L46" s="11" t="s">
        <v>744</v>
      </c>
    </row>
    <row r="47" spans="1:12" ht="20.399999999999999" x14ac:dyDescent="0.3">
      <c r="A47" s="11">
        <f>ROW(Tabela1[[#This Row],[Toolbox No / Container No]])-1</f>
        <v>46</v>
      </c>
      <c r="B47" s="11" t="s">
        <v>332</v>
      </c>
      <c r="C47" s="2" t="s">
        <v>333</v>
      </c>
      <c r="D47" s="11" t="s">
        <v>334</v>
      </c>
      <c r="F47" s="5" t="s">
        <v>352</v>
      </c>
      <c r="G47" s="13">
        <v>45777.666666666664</v>
      </c>
      <c r="H47" s="14">
        <f>EDATE(Tabela1[[#This Row],[Data da calibração/certificação ]],12)</f>
        <v>46142</v>
      </c>
      <c r="I47" s="15">
        <f ca="1">INT(Tabela1[[#This Row],[Próxima data de calibração/certificação]]-TODAY())</f>
        <v>213</v>
      </c>
      <c r="J47" s="16" t="s">
        <v>14</v>
      </c>
      <c r="K47" s="16" t="s">
        <v>920</v>
      </c>
      <c r="L47" s="11" t="s">
        <v>745</v>
      </c>
    </row>
    <row r="48" spans="1:12" ht="20.399999999999999" x14ac:dyDescent="0.3">
      <c r="A48" s="11">
        <f>ROW(Tabela1[[#This Row],[Toolbox No / Container No]])-1</f>
        <v>47</v>
      </c>
      <c r="B48" s="16" t="s">
        <v>499</v>
      </c>
      <c r="C48" s="3" t="s">
        <v>96</v>
      </c>
      <c r="D48" s="16" t="s">
        <v>334</v>
      </c>
      <c r="E48" s="16" t="s">
        <v>500</v>
      </c>
      <c r="F48" s="6" t="s">
        <v>537</v>
      </c>
      <c r="G48" s="14">
        <v>45777.602083333331</v>
      </c>
      <c r="H48" s="14">
        <f>EDATE(Tabela1[[#This Row],[Data da calibração/certificação ]],12)</f>
        <v>46142</v>
      </c>
      <c r="I48" s="15">
        <f ca="1">INT(Tabela1[[#This Row],[Próxima data de calibração/certificação]]-TODAY())</f>
        <v>213</v>
      </c>
      <c r="J48" s="16" t="s">
        <v>14</v>
      </c>
      <c r="K48" s="16" t="s">
        <v>920</v>
      </c>
      <c r="L48" s="11" t="s">
        <v>746</v>
      </c>
    </row>
    <row r="49" spans="1:12" ht="20.399999999999999" x14ac:dyDescent="0.3">
      <c r="A49" s="11">
        <f>ROW(Tabela1[[#This Row],[Toolbox No / Container No]])-1</f>
        <v>48</v>
      </c>
      <c r="B49" s="11" t="s">
        <v>95</v>
      </c>
      <c r="C49" s="2" t="s">
        <v>96</v>
      </c>
      <c r="D49" s="11" t="s">
        <v>97</v>
      </c>
      <c r="F49" s="5" t="s">
        <v>98</v>
      </c>
      <c r="G49" s="13">
        <v>45841.424305555556</v>
      </c>
      <c r="H49" s="14">
        <f>EDATE(Tabela1[[#This Row],[Data da calibração/certificação ]],12)</f>
        <v>46206</v>
      </c>
      <c r="I49" s="15">
        <f ca="1">INT(Tabela1[[#This Row],[Próxima data de calibração/certificação]]-TODAY())</f>
        <v>277</v>
      </c>
      <c r="J49" s="16" t="s">
        <v>14</v>
      </c>
      <c r="K49" s="16" t="s">
        <v>920</v>
      </c>
      <c r="L49" s="11" t="s">
        <v>747</v>
      </c>
    </row>
    <row r="50" spans="1:12" ht="20.399999999999999" x14ac:dyDescent="0.3">
      <c r="A50" s="11">
        <f>ROW(Tabela1[[#This Row],[Toolbox No / Container No]])-1</f>
        <v>49</v>
      </c>
      <c r="B50" s="11" t="s">
        <v>335</v>
      </c>
      <c r="C50" s="2" t="s">
        <v>336</v>
      </c>
      <c r="D50" s="11" t="s">
        <v>337</v>
      </c>
      <c r="F50" s="5" t="s">
        <v>353</v>
      </c>
      <c r="G50" s="13">
        <v>45789.595138888886</v>
      </c>
      <c r="H50" s="14">
        <f>EDATE(Tabela1[[#This Row],[Data da calibração/certificação ]],12)</f>
        <v>46154</v>
      </c>
      <c r="I50" s="15">
        <f ca="1">INT(Tabela1[[#This Row],[Próxima data de calibração/certificação]]-TODAY())</f>
        <v>225</v>
      </c>
      <c r="J50" s="16" t="s">
        <v>14</v>
      </c>
      <c r="K50" s="16" t="s">
        <v>920</v>
      </c>
      <c r="L50" s="11" t="s">
        <v>748</v>
      </c>
    </row>
    <row r="51" spans="1:12" ht="20.399999999999999" x14ac:dyDescent="0.3">
      <c r="A51" s="11">
        <f>ROW(Tabela1[[#This Row],[Toolbox No / Container No]])-1</f>
        <v>50</v>
      </c>
      <c r="B51" s="11" t="s">
        <v>338</v>
      </c>
      <c r="C51" s="2" t="s">
        <v>339</v>
      </c>
      <c r="D51" s="11" t="s">
        <v>329</v>
      </c>
      <c r="F51" s="5" t="s">
        <v>354</v>
      </c>
      <c r="G51" s="13">
        <v>45757.397222222222</v>
      </c>
      <c r="H51" s="14">
        <f>EDATE(Tabela1[[#This Row],[Data da calibração/certificação ]],12)</f>
        <v>46122</v>
      </c>
      <c r="I51" s="15">
        <f ca="1">INT(Tabela1[[#This Row],[Próxima data de calibração/certificação]]-TODAY())</f>
        <v>193</v>
      </c>
      <c r="J51" s="16" t="s">
        <v>14</v>
      </c>
      <c r="K51" s="16" t="s">
        <v>920</v>
      </c>
      <c r="L51" s="11" t="s">
        <v>749</v>
      </c>
    </row>
    <row r="52" spans="1:12" ht="21.6" x14ac:dyDescent="0.3">
      <c r="A52" s="11">
        <f>ROW(Tabela1[[#This Row],[Toolbox No / Container No]])-1</f>
        <v>51</v>
      </c>
      <c r="B52" s="16" t="s">
        <v>560</v>
      </c>
      <c r="C52" s="3" t="s">
        <v>561</v>
      </c>
      <c r="D52" s="16" t="s">
        <v>562</v>
      </c>
      <c r="E52" s="16"/>
      <c r="F52" s="4" t="s">
        <v>586</v>
      </c>
      <c r="G52" s="14">
        <v>45777.75</v>
      </c>
      <c r="H52" s="14">
        <f>EDATE(Tabela1[[#This Row],[Data da calibração/certificação ]],12)</f>
        <v>46142</v>
      </c>
      <c r="I52" s="15">
        <f ca="1">INT(Tabela1[[#This Row],[Próxima data de calibração/certificação]]-TODAY())</f>
        <v>213</v>
      </c>
      <c r="J52" s="16" t="s">
        <v>14</v>
      </c>
      <c r="K52" s="16" t="s">
        <v>920</v>
      </c>
      <c r="L52" s="11" t="s">
        <v>750</v>
      </c>
    </row>
    <row r="53" spans="1:12" ht="20.399999999999999" x14ac:dyDescent="0.3">
      <c r="A53" s="11">
        <f>ROW(Tabela1[[#This Row],[Toolbox No / Container No]])-1</f>
        <v>52</v>
      </c>
      <c r="B53" s="11" t="s">
        <v>340</v>
      </c>
      <c r="C53" s="2" t="s">
        <v>341</v>
      </c>
      <c r="D53" s="11" t="s">
        <v>329</v>
      </c>
      <c r="F53" s="5" t="s">
        <v>355</v>
      </c>
      <c r="G53" s="13">
        <v>45789.590277777781</v>
      </c>
      <c r="H53" s="14">
        <f>EDATE(Tabela1[[#This Row],[Data da calibração/certificação ]],12)</f>
        <v>46154</v>
      </c>
      <c r="I53" s="15">
        <f ca="1">INT(Tabela1[[#This Row],[Próxima data de calibração/certificação]]-TODAY())</f>
        <v>225</v>
      </c>
      <c r="J53" s="16" t="s">
        <v>14</v>
      </c>
      <c r="K53" s="16" t="s">
        <v>920</v>
      </c>
      <c r="L53" s="11" t="s">
        <v>751</v>
      </c>
    </row>
    <row r="54" spans="1:12" ht="20.399999999999999" x14ac:dyDescent="0.3">
      <c r="A54" s="11">
        <f>ROW(Tabela1[[#This Row],[Toolbox No / Container No]])-1</f>
        <v>53</v>
      </c>
      <c r="B54" s="11" t="s">
        <v>342</v>
      </c>
      <c r="C54" s="2" t="s">
        <v>343</v>
      </c>
      <c r="D54" s="11" t="s">
        <v>152</v>
      </c>
      <c r="F54" s="5" t="s">
        <v>356</v>
      </c>
      <c r="G54" s="13">
        <v>45789.591666666667</v>
      </c>
      <c r="H54" s="14">
        <f>EDATE(Tabela1[[#This Row],[Data da calibração/certificação ]],12)</f>
        <v>46154</v>
      </c>
      <c r="I54" s="15">
        <f ca="1">INT(Tabela1[[#This Row],[Próxima data de calibração/certificação]]-TODAY())</f>
        <v>225</v>
      </c>
      <c r="J54" s="16" t="s">
        <v>14</v>
      </c>
      <c r="K54" s="16" t="s">
        <v>920</v>
      </c>
      <c r="L54" s="11" t="s">
        <v>752</v>
      </c>
    </row>
    <row r="55" spans="1:12" ht="20.399999999999999" x14ac:dyDescent="0.3">
      <c r="A55" s="11">
        <f>ROW(Tabela1[[#This Row],[Toolbox No / Container No]])-1</f>
        <v>54</v>
      </c>
      <c r="B55" s="11" t="s">
        <v>344</v>
      </c>
      <c r="C55" s="2" t="s">
        <v>345</v>
      </c>
      <c r="D55" s="11" t="s">
        <v>337</v>
      </c>
      <c r="F55" s="5" t="s">
        <v>357</v>
      </c>
      <c r="G55" s="13">
        <v>45789.598611111112</v>
      </c>
      <c r="H55" s="14">
        <f>EDATE(Tabela1[[#This Row],[Data da calibração/certificação ]],12)</f>
        <v>46154</v>
      </c>
      <c r="I55" s="15">
        <f ca="1">INT(Tabela1[[#This Row],[Próxima data de calibração/certificação]]-TODAY())</f>
        <v>225</v>
      </c>
      <c r="J55" s="16" t="s">
        <v>14</v>
      </c>
      <c r="K55" s="16" t="s">
        <v>920</v>
      </c>
      <c r="L55" s="11" t="s">
        <v>753</v>
      </c>
    </row>
    <row r="56" spans="1:12" ht="20.399999999999999" x14ac:dyDescent="0.3">
      <c r="A56" s="11">
        <f>ROW(Tabela1[[#This Row],[Toolbox No / Container No]])-1</f>
        <v>55</v>
      </c>
      <c r="B56" s="11" t="s">
        <v>346</v>
      </c>
      <c r="C56" s="2" t="s">
        <v>345</v>
      </c>
      <c r="D56" s="11" t="s">
        <v>337</v>
      </c>
      <c r="F56" s="5" t="s">
        <v>358</v>
      </c>
      <c r="G56" s="13">
        <v>45789.597222222219</v>
      </c>
      <c r="H56" s="14">
        <f>EDATE(Tabela1[[#This Row],[Data da calibração/certificação ]],12)</f>
        <v>46154</v>
      </c>
      <c r="I56" s="15">
        <f ca="1">INT(Tabela1[[#This Row],[Próxima data de calibração/certificação]]-TODAY())</f>
        <v>225</v>
      </c>
      <c r="J56" s="16" t="s">
        <v>14</v>
      </c>
      <c r="K56" s="16" t="s">
        <v>920</v>
      </c>
      <c r="L56" s="11" t="s">
        <v>754</v>
      </c>
    </row>
    <row r="57" spans="1:12" ht="20.399999999999999" x14ac:dyDescent="0.3">
      <c r="A57" s="11">
        <f>ROW(Tabela1[[#This Row],[Toolbox No / Container No]])-1</f>
        <v>56</v>
      </c>
      <c r="B57" s="11" t="s">
        <v>347</v>
      </c>
      <c r="C57" s="2" t="s">
        <v>348</v>
      </c>
      <c r="D57" s="11" t="s">
        <v>329</v>
      </c>
      <c r="F57" s="5" t="s">
        <v>359</v>
      </c>
      <c r="G57" s="13">
        <v>45789.584027777775</v>
      </c>
      <c r="H57" s="14">
        <f>EDATE(Tabela1[[#This Row],[Data da calibração/certificação ]],12)</f>
        <v>46154</v>
      </c>
      <c r="I57" s="15">
        <f ca="1">INT(Tabela1[[#This Row],[Próxima data de calibração/certificação]]-TODAY())</f>
        <v>225</v>
      </c>
      <c r="J57" s="16" t="s">
        <v>14</v>
      </c>
      <c r="K57" s="16" t="s">
        <v>920</v>
      </c>
      <c r="L57" s="11" t="s">
        <v>755</v>
      </c>
    </row>
    <row r="58" spans="1:12" ht="20.399999999999999" x14ac:dyDescent="0.3">
      <c r="A58" s="11">
        <f>ROW(Tabela1[[#This Row],[Toolbox No / Container No]])-1</f>
        <v>57</v>
      </c>
      <c r="B58" s="11" t="s">
        <v>349</v>
      </c>
      <c r="C58" s="2" t="s">
        <v>348</v>
      </c>
      <c r="D58" s="11" t="s">
        <v>350</v>
      </c>
      <c r="F58" s="5" t="s">
        <v>360</v>
      </c>
      <c r="G58" s="13">
        <v>45789.614583333336</v>
      </c>
      <c r="H58" s="14">
        <f>EDATE(Tabela1[[#This Row],[Data da calibração/certificação ]],12)</f>
        <v>46154</v>
      </c>
      <c r="I58" s="15">
        <f ca="1">INT(Tabela1[[#This Row],[Próxima data de calibração/certificação]]-TODAY())</f>
        <v>225</v>
      </c>
      <c r="J58" s="16" t="s">
        <v>14</v>
      </c>
      <c r="K58" s="16" t="s">
        <v>920</v>
      </c>
      <c r="L58" s="11" t="s">
        <v>756</v>
      </c>
    </row>
    <row r="59" spans="1:12" ht="20.399999999999999" x14ac:dyDescent="0.3">
      <c r="A59" s="11">
        <f>ROW(Tabela1[[#This Row],[Toolbox No / Container No]])-1</f>
        <v>58</v>
      </c>
      <c r="B59" s="11" t="s">
        <v>351</v>
      </c>
      <c r="C59" s="2" t="s">
        <v>348</v>
      </c>
      <c r="D59" s="11" t="s">
        <v>329</v>
      </c>
      <c r="F59" s="5" t="s">
        <v>361</v>
      </c>
      <c r="G59" s="13">
        <v>45789.484722222223</v>
      </c>
      <c r="H59" s="14">
        <f>EDATE(Tabela1[[#This Row],[Data da calibração/certificação ]],12)</f>
        <v>46154</v>
      </c>
      <c r="I59" s="15">
        <f ca="1">INT(Tabela1[[#This Row],[Próxima data de calibração/certificação]]-TODAY())</f>
        <v>225</v>
      </c>
      <c r="J59" s="16" t="s">
        <v>14</v>
      </c>
      <c r="K59" s="16" t="s">
        <v>920</v>
      </c>
      <c r="L59" s="11" t="s">
        <v>757</v>
      </c>
    </row>
    <row r="60" spans="1:12" ht="30.6" x14ac:dyDescent="0.3">
      <c r="A60" s="11">
        <f>ROW(Tabela1[[#This Row],[Toolbox No / Container No]])-1</f>
        <v>59</v>
      </c>
      <c r="B60" s="11" t="s">
        <v>90</v>
      </c>
      <c r="C60" s="2" t="s">
        <v>91</v>
      </c>
      <c r="D60" s="11" t="s">
        <v>92</v>
      </c>
      <c r="E60" s="11" t="s">
        <v>93</v>
      </c>
      <c r="F60" s="5" t="s">
        <v>94</v>
      </c>
      <c r="G60" s="13">
        <v>45727.383333333331</v>
      </c>
      <c r="H60" s="14">
        <f>EDATE(Tabela1[[#This Row],[Data da calibração/certificação ]],12)</f>
        <v>46092</v>
      </c>
      <c r="I60" s="15">
        <f ca="1">INT(Tabela1[[#This Row],[Próxima data de calibração/certificação]]-TODAY())</f>
        <v>163</v>
      </c>
      <c r="J60" s="16" t="s">
        <v>14</v>
      </c>
      <c r="K60" s="16" t="s">
        <v>921</v>
      </c>
      <c r="L60" s="11" t="s">
        <v>758</v>
      </c>
    </row>
    <row r="61" spans="1:12" ht="32.4" x14ac:dyDescent="0.3">
      <c r="A61" s="11">
        <f>ROW(Tabela1[[#This Row],[Toolbox No / Container No]])-1</f>
        <v>60</v>
      </c>
      <c r="B61" s="16" t="s">
        <v>563</v>
      </c>
      <c r="C61" s="3" t="s">
        <v>91</v>
      </c>
      <c r="D61" s="16" t="s">
        <v>564</v>
      </c>
      <c r="E61" s="16" t="s">
        <v>565</v>
      </c>
      <c r="F61" s="4" t="s">
        <v>587</v>
      </c>
      <c r="G61" s="14">
        <v>45672.472916666666</v>
      </c>
      <c r="H61" s="14">
        <f>EDATE(Tabela1[[#This Row],[Data da calibração/certificação ]],12)</f>
        <v>46037</v>
      </c>
      <c r="I61" s="15">
        <f ca="1">INT(Tabela1[[#This Row],[Próxima data de calibração/certificação]]-TODAY())</f>
        <v>108</v>
      </c>
      <c r="J61" s="16" t="s">
        <v>14</v>
      </c>
      <c r="K61" s="16" t="s">
        <v>922</v>
      </c>
      <c r="L61" s="11" t="s">
        <v>759</v>
      </c>
    </row>
    <row r="62" spans="1:12" ht="21.6" x14ac:dyDescent="0.3">
      <c r="A62" s="11">
        <f>ROW(Tabela1[[#This Row],[Toolbox No / Container No]])-1</f>
        <v>61</v>
      </c>
      <c r="B62" s="16" t="s">
        <v>290</v>
      </c>
      <c r="C62" s="3" t="s">
        <v>291</v>
      </c>
      <c r="D62" s="16" t="s">
        <v>292</v>
      </c>
      <c r="E62" s="16"/>
      <c r="F62" s="4" t="s">
        <v>293</v>
      </c>
      <c r="G62" s="14">
        <v>45674.376388888886</v>
      </c>
      <c r="H62" s="14">
        <f>EDATE(Tabela1[[#This Row],[Data da calibração/certificação ]],12)</f>
        <v>46039</v>
      </c>
      <c r="I62" s="15">
        <f ca="1">INT(Tabela1[[#This Row],[Próxima data de calibração/certificação]]-TODAY())</f>
        <v>110</v>
      </c>
      <c r="J62" s="16" t="s">
        <v>14</v>
      </c>
      <c r="K62" s="16" t="s">
        <v>923</v>
      </c>
      <c r="L62" s="11" t="s">
        <v>760</v>
      </c>
    </row>
    <row r="63" spans="1:12" ht="40.799999999999997" x14ac:dyDescent="0.3">
      <c r="A63" s="11">
        <f>ROW(Tabela1[[#This Row],[Toolbox No / Container No]])-1</f>
        <v>62</v>
      </c>
      <c r="B63" s="11" t="s">
        <v>480</v>
      </c>
      <c r="C63" s="2" t="s">
        <v>481</v>
      </c>
      <c r="D63" s="11" t="s">
        <v>482</v>
      </c>
      <c r="E63" s="11" t="s">
        <v>483</v>
      </c>
      <c r="F63" s="5" t="s">
        <v>484</v>
      </c>
      <c r="G63" s="13">
        <v>45672.413888888892</v>
      </c>
      <c r="H63" s="14">
        <f>EDATE(Tabela1[[#This Row],[Data da calibração/certificação ]],12)</f>
        <v>46037</v>
      </c>
      <c r="I63" s="15">
        <f ca="1">INT(Tabela1[[#This Row],[Próxima data de calibração/certificação]]-TODAY())</f>
        <v>108</v>
      </c>
      <c r="J63" s="16" t="s">
        <v>14</v>
      </c>
      <c r="K63" s="16" t="s">
        <v>924</v>
      </c>
      <c r="L63" s="11" t="s">
        <v>761</v>
      </c>
    </row>
    <row r="64" spans="1:12" ht="32.4" x14ac:dyDescent="0.3">
      <c r="A64" s="11">
        <f>ROW(Tabela1[[#This Row],[Toolbox No / Container No]])-1</f>
        <v>63</v>
      </c>
      <c r="B64" s="16" t="s">
        <v>566</v>
      </c>
      <c r="C64" s="3" t="s">
        <v>567</v>
      </c>
      <c r="D64" s="16" t="s">
        <v>568</v>
      </c>
      <c r="E64" s="16" t="s">
        <v>569</v>
      </c>
      <c r="F64" s="4" t="s">
        <v>588</v>
      </c>
      <c r="G64" s="14">
        <v>45632.905555555553</v>
      </c>
      <c r="H64" s="14">
        <f>EDATE(Tabela1[[#This Row],[Data da calibração/certificação ]],12)</f>
        <v>45997</v>
      </c>
      <c r="I64" s="15">
        <f ca="1">INT(Tabela1[[#This Row],[Próxima data de calibração/certificação]]-TODAY())</f>
        <v>68</v>
      </c>
      <c r="J64" s="16" t="s">
        <v>14</v>
      </c>
      <c r="K64" s="16" t="s">
        <v>925</v>
      </c>
      <c r="L64" s="11" t="s">
        <v>762</v>
      </c>
    </row>
    <row r="65" spans="1:12" ht="30.6" x14ac:dyDescent="0.3">
      <c r="A65" s="11">
        <f>ROW(Tabela1[[#This Row],[Toolbox No / Container No]])-1</f>
        <v>64</v>
      </c>
      <c r="B65" s="11" t="s">
        <v>154</v>
      </c>
      <c r="C65" s="2" t="s">
        <v>155</v>
      </c>
      <c r="D65" s="11" t="s">
        <v>156</v>
      </c>
      <c r="E65" s="11" t="s">
        <v>157</v>
      </c>
      <c r="F65" s="5" t="s">
        <v>158</v>
      </c>
      <c r="G65" s="13">
        <v>45861.572916666664</v>
      </c>
      <c r="H65" s="14">
        <f>EDATE(Tabela1[[#This Row],[Data da calibração/certificação ]],12)</f>
        <v>46226</v>
      </c>
      <c r="I65" s="15">
        <f ca="1">INT(Tabela1[[#This Row],[Próxima data de calibração/certificação]]-TODAY())</f>
        <v>297</v>
      </c>
      <c r="J65" s="16" t="s">
        <v>14</v>
      </c>
      <c r="K65" s="16" t="s">
        <v>926</v>
      </c>
      <c r="L65" s="11" t="s">
        <v>763</v>
      </c>
    </row>
    <row r="66" spans="1:12" ht="20.399999999999999" x14ac:dyDescent="0.3">
      <c r="A66" s="11">
        <f>ROW(Tabela1[[#This Row],[Toolbox No / Container No]])-1</f>
        <v>65</v>
      </c>
      <c r="B66" s="16" t="s">
        <v>501</v>
      </c>
      <c r="C66" s="3" t="s">
        <v>502</v>
      </c>
      <c r="D66" s="16" t="s">
        <v>92</v>
      </c>
      <c r="E66" s="16" t="s">
        <v>503</v>
      </c>
      <c r="F66" s="6" t="s">
        <v>538</v>
      </c>
      <c r="G66" s="14">
        <v>45705.368750000001</v>
      </c>
      <c r="H66" s="14">
        <f>EDATE(Tabela1[[#This Row],[Data da calibração/certificação ]],12)</f>
        <v>46070</v>
      </c>
      <c r="I66" s="15">
        <f ca="1">INT(Tabela1[[#This Row],[Próxima data de calibração/certificação]]-TODAY())</f>
        <v>141</v>
      </c>
      <c r="J66" s="16" t="s">
        <v>14</v>
      </c>
      <c r="K66" s="16" t="s">
        <v>927</v>
      </c>
      <c r="L66" s="11" t="s">
        <v>764</v>
      </c>
    </row>
    <row r="67" spans="1:12" ht="20.399999999999999" x14ac:dyDescent="0.3">
      <c r="A67" s="11">
        <f>ROW(Tabela1[[#This Row],[Toolbox No / Container No]])-1</f>
        <v>66</v>
      </c>
      <c r="B67" s="16" t="s">
        <v>504</v>
      </c>
      <c r="C67" s="3" t="s">
        <v>502</v>
      </c>
      <c r="D67" s="16" t="s">
        <v>92</v>
      </c>
      <c r="E67" s="16" t="s">
        <v>505</v>
      </c>
      <c r="F67" s="6" t="s">
        <v>539</v>
      </c>
      <c r="G67" s="14">
        <v>45705.368750000001</v>
      </c>
      <c r="H67" s="14">
        <f>EDATE(Tabela1[[#This Row],[Data da calibração/certificação ]],12)</f>
        <v>46070</v>
      </c>
      <c r="I67" s="15">
        <f ca="1">INT(Tabela1[[#This Row],[Próxima data de calibração/certificação]]-TODAY())</f>
        <v>141</v>
      </c>
      <c r="J67" s="16" t="s">
        <v>14</v>
      </c>
      <c r="K67" s="16" t="s">
        <v>927</v>
      </c>
      <c r="L67" s="11" t="s">
        <v>765</v>
      </c>
    </row>
    <row r="68" spans="1:12" ht="30.6" x14ac:dyDescent="0.3">
      <c r="A68" s="11">
        <f>ROW(Tabela1[[#This Row],[Toolbox No / Container No]])-1</f>
        <v>67</v>
      </c>
      <c r="B68" s="11" t="s">
        <v>412</v>
      </c>
      <c r="C68" s="2" t="s">
        <v>413</v>
      </c>
      <c r="D68" s="11" t="s">
        <v>21</v>
      </c>
      <c r="E68" s="11" t="s">
        <v>414</v>
      </c>
      <c r="F68" s="5" t="s">
        <v>415</v>
      </c>
      <c r="G68" s="13">
        <v>45779.46875</v>
      </c>
      <c r="H68" s="14">
        <f>EDATE(Tabela1[[#This Row],[Data da calibração/certificação ]],12)</f>
        <v>46144</v>
      </c>
      <c r="I68" s="15">
        <f ca="1">INT(Tabela1[[#This Row],[Próxima data de calibração/certificação]]-TODAY())</f>
        <v>215</v>
      </c>
      <c r="J68" s="16" t="s">
        <v>14</v>
      </c>
      <c r="K68" s="16" t="s">
        <v>928</v>
      </c>
      <c r="L68" s="11" t="s">
        <v>766</v>
      </c>
    </row>
    <row r="69" spans="1:12" ht="20.399999999999999" x14ac:dyDescent="0.3">
      <c r="A69" s="11">
        <f>ROW(Tabela1[[#This Row],[Toolbox No / Container No]])-1</f>
        <v>68</v>
      </c>
      <c r="B69" s="11" t="s">
        <v>485</v>
      </c>
      <c r="C69" s="2" t="s">
        <v>486</v>
      </c>
      <c r="D69" s="11" t="s">
        <v>21</v>
      </c>
      <c r="E69" s="11" t="s">
        <v>487</v>
      </c>
      <c r="F69" s="5" t="s">
        <v>488</v>
      </c>
      <c r="G69" s="13">
        <v>45770.875694444447</v>
      </c>
      <c r="H69" s="14">
        <f>EDATE(Tabela1[[#This Row],[Data da calibração/certificação ]],12)</f>
        <v>46135</v>
      </c>
      <c r="I69" s="15">
        <f ca="1">INT(Tabela1[[#This Row],[Próxima data de calibração/certificação]]-TODAY())</f>
        <v>206</v>
      </c>
      <c r="J69" s="16" t="s">
        <v>14</v>
      </c>
      <c r="K69" s="16" t="s">
        <v>928</v>
      </c>
      <c r="L69" s="11" t="s">
        <v>767</v>
      </c>
    </row>
    <row r="70" spans="1:12" ht="20.399999999999999" x14ac:dyDescent="0.3">
      <c r="A70" s="11">
        <f>ROW(Tabela1[[#This Row],[Toolbox No / Container No]])-1</f>
        <v>69</v>
      </c>
      <c r="B70" s="18" t="s">
        <v>570</v>
      </c>
      <c r="C70" s="8" t="s">
        <v>619</v>
      </c>
      <c r="D70" s="18" t="s">
        <v>21</v>
      </c>
      <c r="E70" s="18" t="s">
        <v>620</v>
      </c>
      <c r="F70" s="9" t="s">
        <v>673</v>
      </c>
      <c r="G70" s="19">
        <v>45663.425000000003</v>
      </c>
      <c r="H70" s="14">
        <f>EDATE(Tabela1[[#This Row],[Data da calibração/certificação ]],12)</f>
        <v>46028</v>
      </c>
      <c r="I70" s="15">
        <f ca="1">INT(Tabela1[[#This Row],[Próxima data de calibração/certificação]]-TODAY())</f>
        <v>99</v>
      </c>
      <c r="J70" s="16" t="s">
        <v>14</v>
      </c>
      <c r="K70" s="16" t="s">
        <v>929</v>
      </c>
      <c r="L70" s="11" t="s">
        <v>768</v>
      </c>
    </row>
    <row r="71" spans="1:12" ht="20.399999999999999" x14ac:dyDescent="0.3">
      <c r="A71" s="11">
        <f>ROW(Tabela1[[#This Row],[Toolbox No / Container No]])-1</f>
        <v>70</v>
      </c>
      <c r="B71" s="18" t="s">
        <v>570</v>
      </c>
      <c r="C71" s="8" t="s">
        <v>621</v>
      </c>
      <c r="D71" s="18" t="s">
        <v>21</v>
      </c>
      <c r="E71" s="18" t="s">
        <v>622</v>
      </c>
      <c r="F71" s="9" t="s">
        <v>674</v>
      </c>
      <c r="G71" s="19">
        <v>45663.426388888889</v>
      </c>
      <c r="H71" s="14">
        <f>EDATE(Tabela1[[#This Row],[Data da calibração/certificação ]],12)</f>
        <v>46028</v>
      </c>
      <c r="I71" s="15">
        <f ca="1">INT(Tabela1[[#This Row],[Próxima data de calibração/certificação]]-TODAY())</f>
        <v>99</v>
      </c>
      <c r="J71" s="16" t="s">
        <v>14</v>
      </c>
      <c r="K71" s="16" t="s">
        <v>929</v>
      </c>
      <c r="L71" s="11" t="s">
        <v>769</v>
      </c>
    </row>
    <row r="72" spans="1:12" ht="20.399999999999999" x14ac:dyDescent="0.3">
      <c r="A72" s="11">
        <f>ROW(Tabela1[[#This Row],[Toolbox No / Container No]])-1</f>
        <v>71</v>
      </c>
      <c r="B72" s="18" t="s">
        <v>570</v>
      </c>
      <c r="C72" s="8" t="s">
        <v>623</v>
      </c>
      <c r="D72" s="18" t="s">
        <v>21</v>
      </c>
      <c r="E72" s="18" t="s">
        <v>624</v>
      </c>
      <c r="F72" s="9" t="s">
        <v>675</v>
      </c>
      <c r="G72" s="19">
        <v>45663.427083333336</v>
      </c>
      <c r="H72" s="14">
        <f>EDATE(Tabela1[[#This Row],[Data da calibração/certificação ]],12)</f>
        <v>46028</v>
      </c>
      <c r="I72" s="15">
        <f ca="1">INT(Tabela1[[#This Row],[Próxima data de calibração/certificação]]-TODAY())</f>
        <v>99</v>
      </c>
      <c r="J72" s="16" t="s">
        <v>14</v>
      </c>
      <c r="K72" s="16" t="s">
        <v>929</v>
      </c>
      <c r="L72" s="11" t="s">
        <v>770</v>
      </c>
    </row>
    <row r="73" spans="1:12" ht="20.399999999999999" x14ac:dyDescent="0.3">
      <c r="A73" s="11">
        <f>ROW(Tabela1[[#This Row],[Toolbox No / Container No]])-1</f>
        <v>72</v>
      </c>
      <c r="B73" s="18" t="s">
        <v>570</v>
      </c>
      <c r="C73" s="8" t="s">
        <v>625</v>
      </c>
      <c r="D73" s="18" t="s">
        <v>21</v>
      </c>
      <c r="E73" s="18" t="s">
        <v>626</v>
      </c>
      <c r="F73" s="9" t="s">
        <v>676</v>
      </c>
      <c r="G73" s="19">
        <v>45663.433333333334</v>
      </c>
      <c r="H73" s="14">
        <f>EDATE(Tabela1[[#This Row],[Data da calibração/certificação ]],12)</f>
        <v>46028</v>
      </c>
      <c r="I73" s="15">
        <f ca="1">INT(Tabela1[[#This Row],[Próxima data de calibração/certificação]]-TODAY())</f>
        <v>99</v>
      </c>
      <c r="J73" s="16" t="s">
        <v>14</v>
      </c>
      <c r="K73" s="16" t="s">
        <v>929</v>
      </c>
      <c r="L73" s="11" t="s">
        <v>771</v>
      </c>
    </row>
    <row r="74" spans="1:12" ht="20.399999999999999" x14ac:dyDescent="0.3">
      <c r="A74" s="11">
        <f>ROW(Tabela1[[#This Row],[Toolbox No / Container No]])-1</f>
        <v>73</v>
      </c>
      <c r="B74" s="18" t="s">
        <v>570</v>
      </c>
      <c r="C74" s="8" t="s">
        <v>627</v>
      </c>
      <c r="D74" s="18" t="s">
        <v>21</v>
      </c>
      <c r="E74" s="18" t="s">
        <v>628</v>
      </c>
      <c r="F74" s="9" t="s">
        <v>677</v>
      </c>
      <c r="G74" s="19">
        <v>45663.434027777781</v>
      </c>
      <c r="H74" s="14">
        <f>EDATE(Tabela1[[#This Row],[Data da calibração/certificação ]],12)</f>
        <v>46028</v>
      </c>
      <c r="I74" s="15">
        <f ca="1">INT(Tabela1[[#This Row],[Próxima data de calibração/certificação]]-TODAY())</f>
        <v>99</v>
      </c>
      <c r="J74" s="16" t="s">
        <v>14</v>
      </c>
      <c r="K74" s="16" t="s">
        <v>929</v>
      </c>
      <c r="L74" s="11" t="s">
        <v>772</v>
      </c>
    </row>
    <row r="75" spans="1:12" ht="20.399999999999999" x14ac:dyDescent="0.3">
      <c r="A75" s="11">
        <f>ROW(Tabela1[[#This Row],[Toolbox No / Container No]])-1</f>
        <v>74</v>
      </c>
      <c r="B75" s="18" t="s">
        <v>570</v>
      </c>
      <c r="C75" s="8" t="s">
        <v>629</v>
      </c>
      <c r="D75" s="18" t="s">
        <v>21</v>
      </c>
      <c r="E75" s="18" t="s">
        <v>630</v>
      </c>
      <c r="F75" s="9" t="s">
        <v>678</v>
      </c>
      <c r="G75" s="19">
        <v>45663.435416666667</v>
      </c>
      <c r="H75" s="14">
        <f>EDATE(Tabela1[[#This Row],[Data da calibração/certificação ]],12)</f>
        <v>46028</v>
      </c>
      <c r="I75" s="15">
        <f ca="1">INT(Tabela1[[#This Row],[Próxima data de calibração/certificação]]-TODAY())</f>
        <v>99</v>
      </c>
      <c r="J75" s="16" t="s">
        <v>14</v>
      </c>
      <c r="K75" s="16" t="s">
        <v>929</v>
      </c>
      <c r="L75" s="11" t="s">
        <v>773</v>
      </c>
    </row>
    <row r="76" spans="1:12" ht="21.6" x14ac:dyDescent="0.3">
      <c r="A76" s="11">
        <f>ROW(Tabela1[[#This Row],[Toolbox No / Container No]])-1</f>
        <v>75</v>
      </c>
      <c r="B76" s="16" t="s">
        <v>570</v>
      </c>
      <c r="C76" s="3" t="s">
        <v>571</v>
      </c>
      <c r="D76" s="16" t="s">
        <v>21</v>
      </c>
      <c r="E76" s="16" t="s">
        <v>572</v>
      </c>
      <c r="F76" s="4" t="s">
        <v>589</v>
      </c>
      <c r="G76" s="14">
        <v>45663.438194444447</v>
      </c>
      <c r="H76" s="14">
        <f>EDATE(Tabela1[[#This Row],[Data da calibração/certificação ]],12)</f>
        <v>46028</v>
      </c>
      <c r="I76" s="15">
        <f ca="1">INT(Tabela1[[#This Row],[Próxima data de calibração/certificação]]-TODAY())</f>
        <v>99</v>
      </c>
      <c r="J76" s="16" t="s">
        <v>14</v>
      </c>
      <c r="K76" s="16" t="s">
        <v>929</v>
      </c>
      <c r="L76" s="11" t="s">
        <v>774</v>
      </c>
    </row>
    <row r="77" spans="1:12" ht="20.399999999999999" x14ac:dyDescent="0.3">
      <c r="A77" s="11">
        <f>ROW(Tabela1[[#This Row],[Toolbox No / Container No]])-1</f>
        <v>76</v>
      </c>
      <c r="B77" s="18" t="s">
        <v>570</v>
      </c>
      <c r="C77" s="8" t="s">
        <v>631</v>
      </c>
      <c r="D77" s="18" t="s">
        <v>21</v>
      </c>
      <c r="E77" s="18" t="s">
        <v>632</v>
      </c>
      <c r="F77" s="9" t="s">
        <v>679</v>
      </c>
      <c r="G77" s="19">
        <v>45663.448611111111</v>
      </c>
      <c r="H77" s="14">
        <f>EDATE(Tabela1[[#This Row],[Data da calibração/certificação ]],12)</f>
        <v>46028</v>
      </c>
      <c r="I77" s="15">
        <f ca="1">INT(Tabela1[[#This Row],[Próxima data de calibração/certificação]]-TODAY())</f>
        <v>99</v>
      </c>
      <c r="J77" s="16" t="s">
        <v>14</v>
      </c>
      <c r="K77" s="16" t="s">
        <v>929</v>
      </c>
      <c r="L77" s="11" t="s">
        <v>775</v>
      </c>
    </row>
    <row r="78" spans="1:12" ht="21.6" x14ac:dyDescent="0.3">
      <c r="A78" s="11">
        <f>ROW(Tabela1[[#This Row],[Toolbox No / Container No]])-1</f>
        <v>77</v>
      </c>
      <c r="B78" s="16" t="s">
        <v>570</v>
      </c>
      <c r="C78" s="3" t="s">
        <v>573</v>
      </c>
      <c r="D78" s="16" t="s">
        <v>21</v>
      </c>
      <c r="E78" s="16" t="s">
        <v>574</v>
      </c>
      <c r="F78" s="4" t="s">
        <v>590</v>
      </c>
      <c r="G78" s="14">
        <v>45663.440972222219</v>
      </c>
      <c r="H78" s="14">
        <f>EDATE(Tabela1[[#This Row],[Data da calibração/certificação ]],12)</f>
        <v>46028</v>
      </c>
      <c r="I78" s="15">
        <f ca="1">INT(Tabela1[[#This Row],[Próxima data de calibração/certificação]]-TODAY())</f>
        <v>99</v>
      </c>
      <c r="J78" s="16" t="s">
        <v>14</v>
      </c>
      <c r="K78" s="16" t="s">
        <v>929</v>
      </c>
      <c r="L78" s="11" t="s">
        <v>776</v>
      </c>
    </row>
    <row r="79" spans="1:12" ht="21.6" x14ac:dyDescent="0.3">
      <c r="A79" s="11">
        <f>ROW(Tabela1[[#This Row],[Toolbox No / Container No]])-1</f>
        <v>78</v>
      </c>
      <c r="B79" s="16" t="s">
        <v>570</v>
      </c>
      <c r="C79" s="3" t="s">
        <v>575</v>
      </c>
      <c r="D79" s="16" t="s">
        <v>21</v>
      </c>
      <c r="E79" s="16" t="s">
        <v>576</v>
      </c>
      <c r="F79" s="4" t="s">
        <v>591</v>
      </c>
      <c r="G79" s="14">
        <v>45663.450694444444</v>
      </c>
      <c r="H79" s="14">
        <f>EDATE(Tabela1[[#This Row],[Data da calibração/certificação ]],12)</f>
        <v>46028</v>
      </c>
      <c r="I79" s="15">
        <f ca="1">INT(Tabela1[[#This Row],[Próxima data de calibração/certificação]]-TODAY())</f>
        <v>99</v>
      </c>
      <c r="J79" s="16" t="s">
        <v>14</v>
      </c>
      <c r="K79" s="16" t="s">
        <v>929</v>
      </c>
      <c r="L79" s="11" t="s">
        <v>777</v>
      </c>
    </row>
    <row r="80" spans="1:12" ht="20.399999999999999" x14ac:dyDescent="0.3">
      <c r="A80" s="11">
        <f>ROW(Tabela1[[#This Row],[Toolbox No / Container No]])-1</f>
        <v>79</v>
      </c>
      <c r="B80" s="18" t="s">
        <v>615</v>
      </c>
      <c r="C80" s="8" t="s">
        <v>616</v>
      </c>
      <c r="D80" s="18" t="s">
        <v>617</v>
      </c>
      <c r="E80" s="18" t="s">
        <v>618</v>
      </c>
      <c r="F80" s="9" t="s">
        <v>672</v>
      </c>
      <c r="G80" s="19">
        <v>45800.620833333334</v>
      </c>
      <c r="H80" s="14">
        <f>EDATE(Tabela1[[#This Row],[Data da calibração/certificação ]],12)</f>
        <v>46165</v>
      </c>
      <c r="I80" s="15">
        <f ca="1">INT(Tabela1[[#This Row],[Próxima data de calibração/certificação]]-TODAY())</f>
        <v>236</v>
      </c>
      <c r="J80" s="16" t="s">
        <v>14</v>
      </c>
      <c r="K80" s="16" t="s">
        <v>929</v>
      </c>
      <c r="L80" s="11" t="s">
        <v>778</v>
      </c>
    </row>
    <row r="81" spans="1:12" ht="20.399999999999999" x14ac:dyDescent="0.3">
      <c r="A81" s="11">
        <f>ROW(Tabela1[[#This Row],[Toolbox No / Container No]])-1</f>
        <v>80</v>
      </c>
      <c r="B81" s="18" t="s">
        <v>570</v>
      </c>
      <c r="C81" s="8" t="s">
        <v>633</v>
      </c>
      <c r="D81" s="18" t="s">
        <v>21</v>
      </c>
      <c r="E81" s="18" t="s">
        <v>634</v>
      </c>
      <c r="F81" s="9" t="s">
        <v>680</v>
      </c>
      <c r="G81" s="19">
        <v>45663.45208333333</v>
      </c>
      <c r="H81" s="14">
        <f>EDATE(Tabela1[[#This Row],[Data da calibração/certificação ]],12)</f>
        <v>46028</v>
      </c>
      <c r="I81" s="15">
        <f ca="1">INT(Tabela1[[#This Row],[Próxima data de calibração/certificação]]-TODAY())</f>
        <v>99</v>
      </c>
      <c r="J81" s="16" t="s">
        <v>14</v>
      </c>
      <c r="K81" s="16" t="s">
        <v>929</v>
      </c>
      <c r="L81" s="11" t="s">
        <v>779</v>
      </c>
    </row>
    <row r="82" spans="1:12" ht="20.399999999999999" x14ac:dyDescent="0.3">
      <c r="A82" s="11">
        <f>ROW(Tabela1[[#This Row],[Toolbox No / Container No]])-1</f>
        <v>81</v>
      </c>
      <c r="B82" s="18" t="s">
        <v>570</v>
      </c>
      <c r="C82" s="8" t="s">
        <v>635</v>
      </c>
      <c r="D82" s="18" t="s">
        <v>21</v>
      </c>
      <c r="E82" s="18" t="s">
        <v>636</v>
      </c>
      <c r="F82" s="9" t="s">
        <v>681</v>
      </c>
      <c r="G82" s="19">
        <v>45663.430555555555</v>
      </c>
      <c r="H82" s="14">
        <f>EDATE(Tabela1[[#This Row],[Data da calibração/certificação ]],12)</f>
        <v>46028</v>
      </c>
      <c r="I82" s="15">
        <f ca="1">INT(Tabela1[[#This Row],[Próxima data de calibração/certificação]]-TODAY())</f>
        <v>99</v>
      </c>
      <c r="J82" s="16" t="s">
        <v>14</v>
      </c>
      <c r="K82" s="16" t="s">
        <v>929</v>
      </c>
      <c r="L82" s="11" t="s">
        <v>780</v>
      </c>
    </row>
    <row r="83" spans="1:12" ht="30.6" x14ac:dyDescent="0.3">
      <c r="A83" s="11">
        <f>ROW(Tabela1[[#This Row],[Toolbox No / Container No]])-1</f>
        <v>82</v>
      </c>
      <c r="B83" s="11" t="s">
        <v>382</v>
      </c>
      <c r="C83" s="2" t="s">
        <v>383</v>
      </c>
      <c r="D83" s="11" t="s">
        <v>21</v>
      </c>
      <c r="E83" s="11" t="s">
        <v>384</v>
      </c>
      <c r="F83" s="5" t="s">
        <v>385</v>
      </c>
      <c r="G83" s="13">
        <v>45699.468055555553</v>
      </c>
      <c r="H83" s="14">
        <f>EDATE(Tabela1[[#This Row],[Data da calibração/certificação ]],12)</f>
        <v>46064</v>
      </c>
      <c r="I83" s="15">
        <f ca="1">INT(Tabela1[[#This Row],[Próxima data de calibração/certificação]]-TODAY())</f>
        <v>135</v>
      </c>
      <c r="J83" s="16" t="s">
        <v>14</v>
      </c>
      <c r="K83" s="16" t="s">
        <v>929</v>
      </c>
      <c r="L83" s="11" t="s">
        <v>781</v>
      </c>
    </row>
    <row r="84" spans="1:12" ht="20.399999999999999" x14ac:dyDescent="0.3">
      <c r="A84" s="11">
        <f>ROW(Tabela1[[#This Row],[Toolbox No / Container No]])-1</f>
        <v>83</v>
      </c>
      <c r="B84" s="11" t="s">
        <v>390</v>
      </c>
      <c r="C84" s="2" t="s">
        <v>391</v>
      </c>
      <c r="D84" s="11" t="s">
        <v>21</v>
      </c>
      <c r="E84" s="11" t="s">
        <v>392</v>
      </c>
      <c r="F84" s="5" t="s">
        <v>393</v>
      </c>
      <c r="G84" s="13">
        <v>45754.897916666669</v>
      </c>
      <c r="H84" s="14">
        <f>EDATE(Tabela1[[#This Row],[Data da calibração/certificação ]],12)</f>
        <v>46119</v>
      </c>
      <c r="I84" s="15">
        <f ca="1">INT(Tabela1[[#This Row],[Próxima data de calibração/certificação]]-TODAY())</f>
        <v>190</v>
      </c>
      <c r="J84" s="16" t="s">
        <v>14</v>
      </c>
      <c r="K84" s="16" t="s">
        <v>930</v>
      </c>
      <c r="L84" s="11" t="s">
        <v>782</v>
      </c>
    </row>
    <row r="85" spans="1:12" ht="20.399999999999999" x14ac:dyDescent="0.3">
      <c r="A85" s="11">
        <f>ROW(Tabela1[[#This Row],[Toolbox No / Container No]])-1</f>
        <v>84</v>
      </c>
      <c r="B85" s="11" t="s">
        <v>386</v>
      </c>
      <c r="C85" s="2" t="s">
        <v>387</v>
      </c>
      <c r="D85" s="11" t="s">
        <v>21</v>
      </c>
      <c r="E85" s="11" t="s">
        <v>388</v>
      </c>
      <c r="F85" s="5" t="s">
        <v>389</v>
      </c>
      <c r="G85" s="13">
        <v>45754.897916666669</v>
      </c>
      <c r="H85" s="14">
        <f>EDATE(Tabela1[[#This Row],[Data da calibração/certificação ]],12)</f>
        <v>46119</v>
      </c>
      <c r="I85" s="15">
        <f ca="1">INT(Tabela1[[#This Row],[Próxima data de calibração/certificação]]-TODAY())</f>
        <v>190</v>
      </c>
      <c r="J85" s="16" t="s">
        <v>14</v>
      </c>
      <c r="K85" s="16" t="s">
        <v>930</v>
      </c>
      <c r="L85" s="11" t="s">
        <v>783</v>
      </c>
    </row>
    <row r="86" spans="1:12" ht="20.399999999999999" x14ac:dyDescent="0.3">
      <c r="A86" s="11">
        <f>ROW(Tabela1[[#This Row],[Toolbox No / Container No]])-1</f>
        <v>85</v>
      </c>
      <c r="B86" s="11" t="s">
        <v>439</v>
      </c>
      <c r="C86" s="2" t="s">
        <v>440</v>
      </c>
      <c r="D86" s="11" t="s">
        <v>21</v>
      </c>
      <c r="E86" s="11" t="s">
        <v>441</v>
      </c>
      <c r="F86" s="5" t="s">
        <v>442</v>
      </c>
      <c r="G86" s="13">
        <v>45754.897916666669</v>
      </c>
      <c r="H86" s="14">
        <f>EDATE(Tabela1[[#This Row],[Data da calibração/certificação ]],12)</f>
        <v>46119</v>
      </c>
      <c r="I86" s="15">
        <f ca="1">INT(Tabela1[[#This Row],[Próxima data de calibração/certificação]]-TODAY())</f>
        <v>190</v>
      </c>
      <c r="J86" s="16" t="s">
        <v>14</v>
      </c>
      <c r="K86" s="16" t="s">
        <v>930</v>
      </c>
      <c r="L86" s="11" t="s">
        <v>784</v>
      </c>
    </row>
    <row r="87" spans="1:12" ht="20.399999999999999" x14ac:dyDescent="0.3">
      <c r="A87" s="11">
        <f>ROW(Tabela1[[#This Row],[Toolbox No / Container No]])-1</f>
        <v>86</v>
      </c>
      <c r="B87" s="11" t="s">
        <v>394</v>
      </c>
      <c r="C87" s="2" t="s">
        <v>395</v>
      </c>
      <c r="D87" s="11" t="s">
        <v>21</v>
      </c>
      <c r="F87" s="5" t="s">
        <v>396</v>
      </c>
      <c r="G87" s="13">
        <v>45754.883333333331</v>
      </c>
      <c r="H87" s="14">
        <f>EDATE(Tabela1[[#This Row],[Data da calibração/certificação ]],12)</f>
        <v>46119</v>
      </c>
      <c r="I87" s="15">
        <f ca="1">INT(Tabela1[[#This Row],[Próxima data de calibração/certificação]]-TODAY())</f>
        <v>190</v>
      </c>
      <c r="J87" s="16" t="s">
        <v>14</v>
      </c>
      <c r="K87" s="16" t="s">
        <v>930</v>
      </c>
      <c r="L87" s="11" t="s">
        <v>785</v>
      </c>
    </row>
    <row r="88" spans="1:12" ht="20.399999999999999" x14ac:dyDescent="0.3">
      <c r="A88" s="11">
        <f>ROW(Tabela1[[#This Row],[Toolbox No / Container No]])-1</f>
        <v>87</v>
      </c>
      <c r="B88" s="11" t="s">
        <v>401</v>
      </c>
      <c r="C88" s="2" t="s">
        <v>402</v>
      </c>
      <c r="D88" s="11" t="s">
        <v>21</v>
      </c>
      <c r="E88" s="11" t="s">
        <v>403</v>
      </c>
      <c r="F88" s="5" t="s">
        <v>404</v>
      </c>
      <c r="G88" s="13">
        <v>45754.882638888892</v>
      </c>
      <c r="H88" s="14">
        <f>EDATE(Tabela1[[#This Row],[Data da calibração/certificação ]],12)</f>
        <v>46119</v>
      </c>
      <c r="I88" s="15">
        <f ca="1">INT(Tabela1[[#This Row],[Próxima data de calibração/certificação]]-TODAY())</f>
        <v>190</v>
      </c>
      <c r="J88" s="16" t="s">
        <v>14</v>
      </c>
      <c r="K88" s="16" t="s">
        <v>930</v>
      </c>
      <c r="L88" s="11" t="s">
        <v>786</v>
      </c>
    </row>
    <row r="89" spans="1:12" ht="20.399999999999999" x14ac:dyDescent="0.3">
      <c r="A89" s="11">
        <f>ROW(Tabela1[[#This Row],[Toolbox No / Container No]])-1</f>
        <v>88</v>
      </c>
      <c r="B89" s="11" t="s">
        <v>397</v>
      </c>
      <c r="C89" s="2" t="s">
        <v>398</v>
      </c>
      <c r="D89" s="11" t="s">
        <v>21</v>
      </c>
      <c r="E89" s="11" t="s">
        <v>399</v>
      </c>
      <c r="F89" s="5" t="s">
        <v>400</v>
      </c>
      <c r="G89" s="13">
        <v>45754.883333333331</v>
      </c>
      <c r="H89" s="14">
        <f>EDATE(Tabela1[[#This Row],[Data da calibração/certificação ]],12)</f>
        <v>46119</v>
      </c>
      <c r="I89" s="15">
        <f ca="1">INT(Tabela1[[#This Row],[Próxima data de calibração/certificação]]-TODAY())</f>
        <v>190</v>
      </c>
      <c r="J89" s="16" t="s">
        <v>14</v>
      </c>
      <c r="K89" s="16" t="s">
        <v>930</v>
      </c>
      <c r="L89" s="11" t="s">
        <v>787</v>
      </c>
    </row>
    <row r="90" spans="1:12" ht="20.399999999999999" x14ac:dyDescent="0.3">
      <c r="A90" s="11">
        <f>ROW(Tabela1[[#This Row],[Toolbox No / Container No]])-1</f>
        <v>89</v>
      </c>
      <c r="B90" s="11" t="s">
        <v>164</v>
      </c>
      <c r="C90" s="2" t="s">
        <v>165</v>
      </c>
      <c r="D90" s="11" t="s">
        <v>166</v>
      </c>
      <c r="E90" s="11" t="s">
        <v>167</v>
      </c>
      <c r="F90" s="5" t="s">
        <v>168</v>
      </c>
      <c r="G90" s="13">
        <v>45862.438888888886</v>
      </c>
      <c r="H90" s="14">
        <f>EDATE(Tabela1[[#This Row],[Data da calibração/certificação ]],12)</f>
        <v>46227</v>
      </c>
      <c r="I90" s="15">
        <f ca="1">INT(Tabela1[[#This Row],[Próxima data de calibração/certificação]]-TODAY())</f>
        <v>298</v>
      </c>
      <c r="J90" s="16" t="s">
        <v>14</v>
      </c>
      <c r="K90" s="16" t="s">
        <v>931</v>
      </c>
      <c r="L90" s="11" t="s">
        <v>788</v>
      </c>
    </row>
    <row r="91" spans="1:12" ht="30.6" x14ac:dyDescent="0.3">
      <c r="A91" s="11">
        <f>ROW(Tabela1[[#This Row],[Toolbox No / Container No]])-1</f>
        <v>90</v>
      </c>
      <c r="B91" s="11" t="s">
        <v>405</v>
      </c>
      <c r="C91" s="2" t="s">
        <v>406</v>
      </c>
      <c r="D91" s="11" t="s">
        <v>166</v>
      </c>
      <c r="E91" s="11" t="s">
        <v>407</v>
      </c>
      <c r="F91" s="5" t="s">
        <v>408</v>
      </c>
      <c r="G91" s="13">
        <v>45779.629861111112</v>
      </c>
      <c r="H91" s="14">
        <f>EDATE(Tabela1[[#This Row],[Data da calibração/certificação ]],12)</f>
        <v>46144</v>
      </c>
      <c r="I91" s="15">
        <f ca="1">INT(Tabela1[[#This Row],[Próxima data de calibração/certificação]]-TODAY())</f>
        <v>215</v>
      </c>
      <c r="J91" s="16" t="s">
        <v>14</v>
      </c>
      <c r="K91" s="16" t="s">
        <v>932</v>
      </c>
      <c r="L91" s="11" t="s">
        <v>789</v>
      </c>
    </row>
    <row r="92" spans="1:12" ht="30.6" x14ac:dyDescent="0.3">
      <c r="A92" s="11">
        <f>ROW(Tabela1[[#This Row],[Toolbox No / Container No]])-1</f>
        <v>91</v>
      </c>
      <c r="B92" s="11" t="s">
        <v>409</v>
      </c>
      <c r="C92" s="2" t="s">
        <v>406</v>
      </c>
      <c r="D92" s="11" t="s">
        <v>166</v>
      </c>
      <c r="E92" s="11" t="s">
        <v>410</v>
      </c>
      <c r="F92" s="5" t="s">
        <v>411</v>
      </c>
      <c r="G92" s="13">
        <v>45779.378472222219</v>
      </c>
      <c r="H92" s="14">
        <f>EDATE(Tabela1[[#This Row],[Data da calibração/certificação ]],12)</f>
        <v>46144</v>
      </c>
      <c r="I92" s="15">
        <f ca="1">INT(Tabela1[[#This Row],[Próxima data de calibração/certificação]]-TODAY())</f>
        <v>215</v>
      </c>
      <c r="J92" s="16" t="s">
        <v>14</v>
      </c>
      <c r="K92" s="16" t="s">
        <v>932</v>
      </c>
      <c r="L92" s="11" t="s">
        <v>790</v>
      </c>
    </row>
    <row r="93" spans="1:12" ht="20.399999999999999" x14ac:dyDescent="0.3">
      <c r="A93" s="11">
        <f>ROW(Tabela1[[#This Row],[Toolbox No / Container No]])-1</f>
        <v>92</v>
      </c>
      <c r="B93" s="11" t="s">
        <v>434</v>
      </c>
      <c r="C93" s="2" t="s">
        <v>435</v>
      </c>
      <c r="F93" s="5" t="s">
        <v>436</v>
      </c>
      <c r="G93" s="13">
        <v>45727.452777777777</v>
      </c>
      <c r="H93" s="14">
        <f>EDATE(Tabela1[[#This Row],[Data da calibração/certificação ]],12)</f>
        <v>46092</v>
      </c>
      <c r="I93" s="15">
        <f ca="1">INT(Tabela1[[#This Row],[Próxima data de calibração/certificação]]-TODAY())</f>
        <v>163</v>
      </c>
      <c r="J93" s="16" t="s">
        <v>14</v>
      </c>
      <c r="K93" s="16" t="s">
        <v>933</v>
      </c>
      <c r="L93" s="11" t="s">
        <v>791</v>
      </c>
    </row>
    <row r="94" spans="1:12" ht="20.399999999999999" x14ac:dyDescent="0.3">
      <c r="A94" s="11">
        <f>ROW(Tabela1[[#This Row],[Toolbox No / Container No]])-1</f>
        <v>93</v>
      </c>
      <c r="B94" s="11" t="s">
        <v>99</v>
      </c>
      <c r="C94" s="2" t="s">
        <v>100</v>
      </c>
      <c r="D94" s="11" t="s">
        <v>101</v>
      </c>
      <c r="E94" s="11" t="s">
        <v>102</v>
      </c>
      <c r="F94" s="5" t="s">
        <v>103</v>
      </c>
      <c r="G94" s="13">
        <v>45728</v>
      </c>
      <c r="H94" s="14">
        <f>EDATE(Tabela1[[#This Row],[Data da calibração/certificação ]],12)</f>
        <v>46093</v>
      </c>
      <c r="I94" s="15">
        <f ca="1">INT(Tabela1[[#This Row],[Próxima data de calibração/certificação]]-TODAY())</f>
        <v>164</v>
      </c>
      <c r="J94" s="16" t="s">
        <v>14</v>
      </c>
      <c r="K94" s="16" t="s">
        <v>934</v>
      </c>
      <c r="L94" s="11" t="s">
        <v>792</v>
      </c>
    </row>
    <row r="95" spans="1:12" ht="30.6" x14ac:dyDescent="0.3">
      <c r="A95" s="11">
        <f>ROW(Tabela1[[#This Row],[Toolbox No / Container No]])-1</f>
        <v>94</v>
      </c>
      <c r="B95" s="11" t="s">
        <v>194</v>
      </c>
      <c r="C95" s="2" t="s">
        <v>195</v>
      </c>
      <c r="D95" s="11" t="s">
        <v>196</v>
      </c>
      <c r="F95" s="6" t="s">
        <v>197</v>
      </c>
      <c r="G95" s="13">
        <v>45904</v>
      </c>
      <c r="H95" s="14">
        <f>EDATE(Tabela1[[#This Row],[Data da calibração/certificação ]],12)</f>
        <v>46269</v>
      </c>
      <c r="I95" s="15">
        <f ca="1">INT(Tabela1[[#This Row],[Próxima data de calibração/certificação]]-TODAY())</f>
        <v>340</v>
      </c>
      <c r="J95" s="16" t="s">
        <v>14</v>
      </c>
      <c r="K95" s="16" t="s">
        <v>935</v>
      </c>
      <c r="L95" s="11" t="s">
        <v>793</v>
      </c>
    </row>
    <row r="96" spans="1:12" ht="30.6" x14ac:dyDescent="0.3">
      <c r="A96" s="11">
        <f>ROW(Tabela1[[#This Row],[Toolbox No / Container No]])-1</f>
        <v>95</v>
      </c>
      <c r="B96" s="11" t="s">
        <v>198</v>
      </c>
      <c r="C96" s="2" t="s">
        <v>195</v>
      </c>
      <c r="D96" s="11" t="s">
        <v>199</v>
      </c>
      <c r="F96" s="6" t="s">
        <v>200</v>
      </c>
      <c r="G96" s="13">
        <v>45904</v>
      </c>
      <c r="H96" s="14">
        <f>EDATE(Tabela1[[#This Row],[Data da calibração/certificação ]],12)</f>
        <v>46269</v>
      </c>
      <c r="I96" s="15">
        <f ca="1">INT(Tabela1[[#This Row],[Próxima data de calibração/certificação]]-TODAY())</f>
        <v>340</v>
      </c>
      <c r="J96" s="16" t="s">
        <v>14</v>
      </c>
      <c r="K96" s="16" t="s">
        <v>935</v>
      </c>
      <c r="L96" s="11" t="s">
        <v>794</v>
      </c>
    </row>
    <row r="97" spans="1:12" ht="30.6" x14ac:dyDescent="0.3">
      <c r="A97" s="11">
        <f>ROW(Tabela1[[#This Row],[Toolbox No / Container No]])-1</f>
        <v>96</v>
      </c>
      <c r="B97" s="11" t="s">
        <v>201</v>
      </c>
      <c r="C97" s="2" t="s">
        <v>202</v>
      </c>
      <c r="D97" s="11" t="s">
        <v>203</v>
      </c>
      <c r="E97" s="11" t="s">
        <v>204</v>
      </c>
      <c r="F97" s="6" t="s">
        <v>205</v>
      </c>
      <c r="G97" s="13">
        <v>45904</v>
      </c>
      <c r="H97" s="14">
        <f>EDATE(Tabela1[[#This Row],[Data da calibração/certificação ]],12)</f>
        <v>46269</v>
      </c>
      <c r="I97" s="15">
        <f ca="1">INT(Tabela1[[#This Row],[Próxima data de calibração/certificação]]-TODAY())</f>
        <v>340</v>
      </c>
      <c r="J97" s="16" t="s">
        <v>14</v>
      </c>
      <c r="K97" s="16" t="s">
        <v>936</v>
      </c>
      <c r="L97" s="11" t="s">
        <v>795</v>
      </c>
    </row>
    <row r="98" spans="1:12" ht="30.6" x14ac:dyDescent="0.3">
      <c r="A98" s="11">
        <f>ROW(Tabela1[[#This Row],[Toolbox No / Container No]])-1</f>
        <v>97</v>
      </c>
      <c r="B98" s="11" t="s">
        <v>206</v>
      </c>
      <c r="C98" s="2" t="s">
        <v>207</v>
      </c>
      <c r="D98" s="11" t="s">
        <v>208</v>
      </c>
      <c r="F98" s="6" t="s">
        <v>209</v>
      </c>
      <c r="G98" s="13">
        <v>45904</v>
      </c>
      <c r="H98" s="14">
        <f>EDATE(Tabela1[[#This Row],[Data da calibração/certificação ]],12)</f>
        <v>46269</v>
      </c>
      <c r="I98" s="15">
        <f ca="1">INT(Tabela1[[#This Row],[Próxima data de calibração/certificação]]-TODAY())</f>
        <v>340</v>
      </c>
      <c r="J98" s="16" t="s">
        <v>14</v>
      </c>
      <c r="K98" s="16" t="s">
        <v>936</v>
      </c>
      <c r="L98" s="11" t="s">
        <v>796</v>
      </c>
    </row>
    <row r="99" spans="1:12" ht="30.6" x14ac:dyDescent="0.3">
      <c r="A99" s="11">
        <f>ROW(Tabela1[[#This Row],[Toolbox No / Container No]])-1</f>
        <v>98</v>
      </c>
      <c r="B99" s="11" t="s">
        <v>210</v>
      </c>
      <c r="C99" s="2" t="s">
        <v>207</v>
      </c>
      <c r="D99" s="11" t="s">
        <v>208</v>
      </c>
      <c r="F99" s="6" t="s">
        <v>211</v>
      </c>
      <c r="G99" s="13">
        <v>45903</v>
      </c>
      <c r="H99" s="14">
        <f>EDATE(Tabela1[[#This Row],[Data da calibração/certificação ]],12)</f>
        <v>46268</v>
      </c>
      <c r="I99" s="15">
        <f ca="1">INT(Tabela1[[#This Row],[Próxima data de calibração/certificação]]-TODAY())</f>
        <v>339</v>
      </c>
      <c r="J99" s="16" t="s">
        <v>14</v>
      </c>
      <c r="K99" s="16" t="s">
        <v>936</v>
      </c>
      <c r="L99" s="11" t="s">
        <v>797</v>
      </c>
    </row>
    <row r="100" spans="1:12" ht="30.6" x14ac:dyDescent="0.3">
      <c r="A100" s="11">
        <f>ROW(Tabela1[[#This Row],[Toolbox No / Container No]])-1</f>
        <v>99</v>
      </c>
      <c r="B100" s="11" t="s">
        <v>212</v>
      </c>
      <c r="C100" s="2" t="s">
        <v>207</v>
      </c>
      <c r="D100" s="11" t="s">
        <v>208</v>
      </c>
      <c r="F100" s="6" t="s">
        <v>213</v>
      </c>
      <c r="G100" s="13">
        <v>45903</v>
      </c>
      <c r="H100" s="14">
        <f>EDATE(Tabela1[[#This Row],[Data da calibração/certificação ]],12)</f>
        <v>46268</v>
      </c>
      <c r="I100" s="15">
        <f ca="1">INT(Tabela1[[#This Row],[Próxima data de calibração/certificação]]-TODAY())</f>
        <v>339</v>
      </c>
      <c r="J100" s="16" t="s">
        <v>14</v>
      </c>
      <c r="K100" s="16" t="s">
        <v>936</v>
      </c>
      <c r="L100" s="11" t="s">
        <v>798</v>
      </c>
    </row>
    <row r="101" spans="1:12" ht="30.6" x14ac:dyDescent="0.3">
      <c r="A101" s="11">
        <f>ROW(Tabela1[[#This Row],[Toolbox No / Container No]])-1</f>
        <v>100</v>
      </c>
      <c r="B101" s="11" t="s">
        <v>214</v>
      </c>
      <c r="C101" s="2" t="s">
        <v>207</v>
      </c>
      <c r="D101" s="11" t="s">
        <v>208</v>
      </c>
      <c r="F101" s="6" t="s">
        <v>215</v>
      </c>
      <c r="G101" s="13">
        <v>45904</v>
      </c>
      <c r="H101" s="14">
        <f>EDATE(Tabela1[[#This Row],[Data da calibração/certificação ]],12)</f>
        <v>46269</v>
      </c>
      <c r="I101" s="15">
        <f ca="1">INT(Tabela1[[#This Row],[Próxima data de calibração/certificação]]-TODAY())</f>
        <v>340</v>
      </c>
      <c r="J101" s="16" t="s">
        <v>14</v>
      </c>
      <c r="K101" s="16" t="s">
        <v>936</v>
      </c>
      <c r="L101" s="11" t="s">
        <v>799</v>
      </c>
    </row>
    <row r="102" spans="1:12" ht="30.6" x14ac:dyDescent="0.3">
      <c r="A102" s="11">
        <f>ROW(Tabela1[[#This Row],[Toolbox No / Container No]])-1</f>
        <v>101</v>
      </c>
      <c r="B102" s="11" t="s">
        <v>216</v>
      </c>
      <c r="C102" s="2" t="s">
        <v>207</v>
      </c>
      <c r="D102" s="11" t="s">
        <v>208</v>
      </c>
      <c r="F102" s="6" t="s">
        <v>217</v>
      </c>
      <c r="G102" s="13">
        <v>45904</v>
      </c>
      <c r="H102" s="14">
        <f>EDATE(Tabela1[[#This Row],[Data da calibração/certificação ]],12)</f>
        <v>46269</v>
      </c>
      <c r="I102" s="15">
        <f ca="1">INT(Tabela1[[#This Row],[Próxima data de calibração/certificação]]-TODAY())</f>
        <v>340</v>
      </c>
      <c r="J102" s="16" t="s">
        <v>14</v>
      </c>
      <c r="K102" s="16" t="s">
        <v>936</v>
      </c>
      <c r="L102" s="11" t="s">
        <v>800</v>
      </c>
    </row>
    <row r="103" spans="1:12" ht="30.6" x14ac:dyDescent="0.3">
      <c r="A103" s="11">
        <f>ROW(Tabela1[[#This Row],[Toolbox No / Container No]])-1</f>
        <v>102</v>
      </c>
      <c r="B103" s="11" t="s">
        <v>218</v>
      </c>
      <c r="C103" s="2" t="s">
        <v>207</v>
      </c>
      <c r="D103" s="11" t="s">
        <v>208</v>
      </c>
      <c r="F103" s="6" t="s">
        <v>219</v>
      </c>
      <c r="G103" s="13">
        <v>45904</v>
      </c>
      <c r="H103" s="14">
        <f>EDATE(Tabela1[[#This Row],[Data da calibração/certificação ]],12)</f>
        <v>46269</v>
      </c>
      <c r="I103" s="15">
        <f ca="1">INT(Tabela1[[#This Row],[Próxima data de calibração/certificação]]-TODAY())</f>
        <v>340</v>
      </c>
      <c r="J103" s="16" t="s">
        <v>14</v>
      </c>
      <c r="K103" s="16" t="s">
        <v>936</v>
      </c>
      <c r="L103" s="11" t="s">
        <v>801</v>
      </c>
    </row>
    <row r="104" spans="1:12" ht="30.6" x14ac:dyDescent="0.3">
      <c r="A104" s="11">
        <f>ROW(Tabela1[[#This Row],[Toolbox No / Container No]])-1</f>
        <v>103</v>
      </c>
      <c r="B104" s="11" t="s">
        <v>220</v>
      </c>
      <c r="C104" s="2" t="s">
        <v>207</v>
      </c>
      <c r="D104" s="11" t="s">
        <v>208</v>
      </c>
      <c r="F104" s="6" t="s">
        <v>221</v>
      </c>
      <c r="G104" s="13">
        <v>45904</v>
      </c>
      <c r="H104" s="14">
        <f>EDATE(Tabela1[[#This Row],[Data da calibração/certificação ]],12)</f>
        <v>46269</v>
      </c>
      <c r="I104" s="15">
        <f ca="1">INT(Tabela1[[#This Row],[Próxima data de calibração/certificação]]-TODAY())</f>
        <v>340</v>
      </c>
      <c r="J104" s="16" t="s">
        <v>14</v>
      </c>
      <c r="K104" s="16" t="s">
        <v>936</v>
      </c>
      <c r="L104" s="11" t="s">
        <v>802</v>
      </c>
    </row>
    <row r="105" spans="1:12" ht="30.6" x14ac:dyDescent="0.3">
      <c r="A105" s="11">
        <f>ROW(Tabela1[[#This Row],[Toolbox No / Container No]])-1</f>
        <v>104</v>
      </c>
      <c r="B105" s="11" t="s">
        <v>222</v>
      </c>
      <c r="C105" s="2" t="s">
        <v>207</v>
      </c>
      <c r="D105" s="11" t="s">
        <v>208</v>
      </c>
      <c r="F105" s="6" t="s">
        <v>223</v>
      </c>
      <c r="G105" s="13">
        <v>45904</v>
      </c>
      <c r="H105" s="14">
        <f>EDATE(Tabela1[[#This Row],[Data da calibração/certificação ]],12)</f>
        <v>46269</v>
      </c>
      <c r="I105" s="15">
        <f ca="1">INT(Tabela1[[#This Row],[Próxima data de calibração/certificação]]-TODAY())</f>
        <v>340</v>
      </c>
      <c r="J105" s="16" t="s">
        <v>14</v>
      </c>
      <c r="K105" s="16" t="s">
        <v>936</v>
      </c>
      <c r="L105" s="11" t="s">
        <v>803</v>
      </c>
    </row>
    <row r="106" spans="1:12" ht="30.6" x14ac:dyDescent="0.3">
      <c r="A106" s="11">
        <f>ROW(Tabela1[[#This Row],[Toolbox No / Container No]])-1</f>
        <v>105</v>
      </c>
      <c r="B106" s="11" t="s">
        <v>224</v>
      </c>
      <c r="C106" s="2" t="s">
        <v>207</v>
      </c>
      <c r="D106" s="11" t="s">
        <v>208</v>
      </c>
      <c r="F106" s="6" t="s">
        <v>225</v>
      </c>
      <c r="G106" s="13">
        <v>45903</v>
      </c>
      <c r="H106" s="14">
        <f>EDATE(Tabela1[[#This Row],[Data da calibração/certificação ]],12)</f>
        <v>46268</v>
      </c>
      <c r="I106" s="15">
        <f ca="1">INT(Tabela1[[#This Row],[Próxima data de calibração/certificação]]-TODAY())</f>
        <v>339</v>
      </c>
      <c r="J106" s="16" t="s">
        <v>14</v>
      </c>
      <c r="K106" s="16" t="s">
        <v>936</v>
      </c>
      <c r="L106" s="11" t="s">
        <v>804</v>
      </c>
    </row>
    <row r="107" spans="1:12" ht="30.6" x14ac:dyDescent="0.3">
      <c r="A107" s="11">
        <f>ROW(Tabela1[[#This Row],[Toolbox No / Container No]])-1</f>
        <v>106</v>
      </c>
      <c r="B107" s="11" t="s">
        <v>226</v>
      </c>
      <c r="C107" s="2" t="s">
        <v>207</v>
      </c>
      <c r="D107" s="11" t="s">
        <v>208</v>
      </c>
      <c r="F107" s="6" t="s">
        <v>227</v>
      </c>
      <c r="G107" s="13">
        <v>45904</v>
      </c>
      <c r="H107" s="14">
        <f>EDATE(Tabela1[[#This Row],[Data da calibração/certificação ]],12)</f>
        <v>46269</v>
      </c>
      <c r="I107" s="15">
        <f ca="1">INT(Tabela1[[#This Row],[Próxima data de calibração/certificação]]-TODAY())</f>
        <v>340</v>
      </c>
      <c r="J107" s="16" t="s">
        <v>14</v>
      </c>
      <c r="K107" s="16" t="s">
        <v>936</v>
      </c>
      <c r="L107" s="11" t="s">
        <v>805</v>
      </c>
    </row>
    <row r="108" spans="1:12" ht="30.6" x14ac:dyDescent="0.3">
      <c r="A108" s="11">
        <f>ROW(Tabela1[[#This Row],[Toolbox No / Container No]])-1</f>
        <v>107</v>
      </c>
      <c r="B108" s="11" t="s">
        <v>228</v>
      </c>
      <c r="C108" s="2" t="s">
        <v>207</v>
      </c>
      <c r="D108" s="11" t="s">
        <v>229</v>
      </c>
      <c r="F108" s="6" t="s">
        <v>230</v>
      </c>
      <c r="G108" s="13">
        <v>45904</v>
      </c>
      <c r="H108" s="14">
        <f>EDATE(Tabela1[[#This Row],[Data da calibração/certificação ]],12)</f>
        <v>46269</v>
      </c>
      <c r="I108" s="15">
        <f ca="1">INT(Tabela1[[#This Row],[Próxima data de calibração/certificação]]-TODAY())</f>
        <v>340</v>
      </c>
      <c r="J108" s="16" t="s">
        <v>14</v>
      </c>
      <c r="K108" s="16" t="s">
        <v>936</v>
      </c>
      <c r="L108" s="11" t="s">
        <v>806</v>
      </c>
    </row>
    <row r="109" spans="1:12" ht="30.6" x14ac:dyDescent="0.3">
      <c r="A109" s="11">
        <f>ROW(Tabela1[[#This Row],[Toolbox No / Container No]])-1</f>
        <v>108</v>
      </c>
      <c r="B109" s="11" t="s">
        <v>231</v>
      </c>
      <c r="C109" s="2" t="s">
        <v>207</v>
      </c>
      <c r="D109" s="11" t="s">
        <v>186</v>
      </c>
      <c r="F109" s="6" t="s">
        <v>232</v>
      </c>
      <c r="G109" s="13">
        <v>45904</v>
      </c>
      <c r="H109" s="14">
        <f>EDATE(Tabela1[[#This Row],[Data da calibração/certificação ]],12)</f>
        <v>46269</v>
      </c>
      <c r="I109" s="15">
        <f ca="1">INT(Tabela1[[#This Row],[Próxima data de calibração/certificação]]-TODAY())</f>
        <v>340</v>
      </c>
      <c r="J109" s="16" t="s">
        <v>14</v>
      </c>
      <c r="K109" s="16" t="s">
        <v>936</v>
      </c>
      <c r="L109" s="11" t="s">
        <v>807</v>
      </c>
    </row>
    <row r="110" spans="1:12" ht="30.6" x14ac:dyDescent="0.3">
      <c r="A110" s="11">
        <f>ROW(Tabela1[[#This Row],[Toolbox No / Container No]])-1</f>
        <v>109</v>
      </c>
      <c r="B110" s="11" t="s">
        <v>233</v>
      </c>
      <c r="C110" s="2" t="s">
        <v>207</v>
      </c>
      <c r="D110" s="11" t="s">
        <v>186</v>
      </c>
      <c r="F110" s="6" t="s">
        <v>234</v>
      </c>
      <c r="G110" s="13">
        <v>45904</v>
      </c>
      <c r="H110" s="14">
        <f>EDATE(Tabela1[[#This Row],[Data da calibração/certificação ]],12)</f>
        <v>46269</v>
      </c>
      <c r="I110" s="15">
        <f ca="1">INT(Tabela1[[#This Row],[Próxima data de calibração/certificação]]-TODAY())</f>
        <v>340</v>
      </c>
      <c r="J110" s="16" t="s">
        <v>14</v>
      </c>
      <c r="K110" s="16" t="s">
        <v>936</v>
      </c>
      <c r="L110" s="11" t="s">
        <v>808</v>
      </c>
    </row>
    <row r="111" spans="1:12" ht="30.6" x14ac:dyDescent="0.3">
      <c r="A111" s="11">
        <f>ROW(Tabela1[[#This Row],[Toolbox No / Container No]])-1</f>
        <v>110</v>
      </c>
      <c r="B111" s="11" t="s">
        <v>235</v>
      </c>
      <c r="C111" s="2" t="s">
        <v>207</v>
      </c>
      <c r="D111" s="11" t="s">
        <v>186</v>
      </c>
      <c r="F111" s="6" t="s">
        <v>236</v>
      </c>
      <c r="G111" s="13">
        <v>45904</v>
      </c>
      <c r="H111" s="14">
        <f>EDATE(Tabela1[[#This Row],[Data da calibração/certificação ]],12)</f>
        <v>46269</v>
      </c>
      <c r="I111" s="15">
        <f ca="1">INT(Tabela1[[#This Row],[Próxima data de calibração/certificação]]-TODAY())</f>
        <v>340</v>
      </c>
      <c r="J111" s="16" t="s">
        <v>14</v>
      </c>
      <c r="K111" s="16" t="s">
        <v>936</v>
      </c>
      <c r="L111" s="11" t="s">
        <v>809</v>
      </c>
    </row>
    <row r="112" spans="1:12" ht="30.6" x14ac:dyDescent="0.3">
      <c r="A112" s="11">
        <f>ROW(Tabela1[[#This Row],[Toolbox No / Container No]])-1</f>
        <v>111</v>
      </c>
      <c r="B112" s="11" t="s">
        <v>237</v>
      </c>
      <c r="C112" s="2" t="s">
        <v>207</v>
      </c>
      <c r="D112" s="11" t="s">
        <v>199</v>
      </c>
      <c r="F112" s="6" t="s">
        <v>238</v>
      </c>
      <c r="G112" s="13">
        <v>45904</v>
      </c>
      <c r="H112" s="14">
        <f>EDATE(Tabela1[[#This Row],[Data da calibração/certificação ]],12)</f>
        <v>46269</v>
      </c>
      <c r="I112" s="15">
        <f ca="1">INT(Tabela1[[#This Row],[Próxima data de calibração/certificação]]-TODAY())</f>
        <v>340</v>
      </c>
      <c r="J112" s="16" t="s">
        <v>14</v>
      </c>
      <c r="K112" s="16" t="s">
        <v>936</v>
      </c>
      <c r="L112" s="11" t="s">
        <v>810</v>
      </c>
    </row>
    <row r="113" spans="1:12" ht="30.6" x14ac:dyDescent="0.3">
      <c r="A113" s="11">
        <f>ROW(Tabela1[[#This Row],[Toolbox No / Container No]])-1</f>
        <v>112</v>
      </c>
      <c r="B113" s="11" t="s">
        <v>239</v>
      </c>
      <c r="C113" s="2" t="s">
        <v>240</v>
      </c>
      <c r="D113" s="11" t="s">
        <v>241</v>
      </c>
      <c r="F113" s="6" t="s">
        <v>242</v>
      </c>
      <c r="G113" s="13">
        <v>45904</v>
      </c>
      <c r="H113" s="14">
        <f>EDATE(Tabela1[[#This Row],[Data da calibração/certificação ]],12)</f>
        <v>46269</v>
      </c>
      <c r="I113" s="15">
        <f ca="1">INT(Tabela1[[#This Row],[Próxima data de calibração/certificação]]-TODAY())</f>
        <v>340</v>
      </c>
      <c r="J113" s="16" t="s">
        <v>14</v>
      </c>
      <c r="K113" s="16" t="s">
        <v>936</v>
      </c>
      <c r="L113" s="11" t="s">
        <v>811</v>
      </c>
    </row>
    <row r="114" spans="1:12" ht="30.6" x14ac:dyDescent="0.3">
      <c r="A114" s="11">
        <f>ROW(Tabela1[[#This Row],[Toolbox No / Container No]])-1</f>
        <v>113</v>
      </c>
      <c r="B114" s="11" t="s">
        <v>243</v>
      </c>
      <c r="C114" s="2" t="s">
        <v>244</v>
      </c>
      <c r="D114" s="11" t="s">
        <v>245</v>
      </c>
      <c r="F114" s="6" t="s">
        <v>246</v>
      </c>
      <c r="G114" s="13">
        <v>45904</v>
      </c>
      <c r="H114" s="14">
        <f>EDATE(Tabela1[[#This Row],[Data da calibração/certificação ]],12)</f>
        <v>46269</v>
      </c>
      <c r="I114" s="15">
        <f ca="1">INT(Tabela1[[#This Row],[Próxima data de calibração/certificação]]-TODAY())</f>
        <v>340</v>
      </c>
      <c r="J114" s="16" t="s">
        <v>14</v>
      </c>
      <c r="K114" s="16" t="s">
        <v>936</v>
      </c>
      <c r="L114" s="11" t="s">
        <v>812</v>
      </c>
    </row>
    <row r="115" spans="1:12" ht="20.399999999999999" x14ac:dyDescent="0.3">
      <c r="A115" s="11">
        <f>ROW(Tabela1[[#This Row],[Toolbox No / Container No]])-1</f>
        <v>114</v>
      </c>
      <c r="B115" s="11" t="s">
        <v>22</v>
      </c>
      <c r="C115" s="2" t="s">
        <v>20</v>
      </c>
      <c r="D115" s="11" t="s">
        <v>21</v>
      </c>
      <c r="F115" s="5" t="s">
        <v>527</v>
      </c>
      <c r="G115" s="13">
        <v>45861.70416666667</v>
      </c>
      <c r="H115" s="14">
        <f>EDATE(Tabela1[[#This Row],[Data da calibração/certificação ]],12)</f>
        <v>46226</v>
      </c>
      <c r="I115" s="15">
        <f ca="1">INT(Tabela1[[#This Row],[Próxima data de calibração/certificação]]-TODAY())</f>
        <v>297</v>
      </c>
      <c r="J115" s="16" t="s">
        <v>14</v>
      </c>
      <c r="K115" s="16" t="s">
        <v>937</v>
      </c>
      <c r="L115" s="11" t="s">
        <v>813</v>
      </c>
    </row>
    <row r="116" spans="1:12" x14ac:dyDescent="0.3">
      <c r="A116" s="11">
        <f>ROW(Tabela1[[#This Row],[Toolbox No / Container No]])-1</f>
        <v>115</v>
      </c>
      <c r="B116" s="11" t="s">
        <v>19</v>
      </c>
      <c r="C116" s="2" t="s">
        <v>20</v>
      </c>
      <c r="D116" s="11" t="s">
        <v>21</v>
      </c>
      <c r="F116" s="5" t="e">
        <f>LOWER([1]!Tabela1[[#This Row],[Certificate Number / Calibration Number]])</f>
        <v>#REF!</v>
      </c>
      <c r="G116" s="13">
        <v>45861.70416666667</v>
      </c>
      <c r="H116" s="14">
        <f>EDATE(Tabela1[[#This Row],[Data da calibração/certificação ]],12)</f>
        <v>46226</v>
      </c>
      <c r="I116" s="15">
        <f ca="1">INT(Tabela1[[#This Row],[Próxima data de calibração/certificação]]-TODAY())</f>
        <v>297</v>
      </c>
      <c r="J116" s="16" t="s">
        <v>14</v>
      </c>
      <c r="K116" s="16" t="s">
        <v>937</v>
      </c>
      <c r="L116" s="11" t="s">
        <v>814</v>
      </c>
    </row>
    <row r="117" spans="1:12" ht="30.6" x14ac:dyDescent="0.3">
      <c r="A117" s="11">
        <f>ROW(Tabela1[[#This Row],[Toolbox No / Container No]])-1</f>
        <v>116</v>
      </c>
      <c r="B117" s="11" t="s">
        <v>277</v>
      </c>
      <c r="C117" s="2" t="s">
        <v>278</v>
      </c>
      <c r="D117" s="11" t="s">
        <v>279</v>
      </c>
      <c r="E117" s="11" t="s">
        <v>280</v>
      </c>
      <c r="F117" s="6" t="s">
        <v>281</v>
      </c>
      <c r="G117" s="13">
        <v>45874</v>
      </c>
      <c r="H117" s="14">
        <f>EDATE(Tabela1[[#This Row],[Data da calibração/certificação ]],12)</f>
        <v>46239</v>
      </c>
      <c r="I117" s="15">
        <f ca="1">INT(Tabela1[[#This Row],[Próxima data de calibração/certificação]]-TODAY())</f>
        <v>310</v>
      </c>
      <c r="J117" s="16" t="s">
        <v>14</v>
      </c>
      <c r="K117" s="16" t="s">
        <v>938</v>
      </c>
      <c r="L117" s="11" t="s">
        <v>815</v>
      </c>
    </row>
    <row r="118" spans="1:12" ht="30.6" x14ac:dyDescent="0.3">
      <c r="A118" s="11">
        <f>ROW(Tabela1[[#This Row],[Toolbox No / Container No]])-1</f>
        <v>117</v>
      </c>
      <c r="B118" s="11" t="s">
        <v>282</v>
      </c>
      <c r="C118" s="2" t="s">
        <v>278</v>
      </c>
      <c r="D118" s="11" t="s">
        <v>283</v>
      </c>
      <c r="E118" s="11" t="s">
        <v>284</v>
      </c>
      <c r="F118" s="6" t="s">
        <v>285</v>
      </c>
      <c r="G118" s="13">
        <v>45877</v>
      </c>
      <c r="H118" s="14">
        <f>EDATE(Tabela1[[#This Row],[Data da calibração/certificação ]],12)</f>
        <v>46242</v>
      </c>
      <c r="I118" s="15">
        <f ca="1">INT(Tabela1[[#This Row],[Próxima data de calibração/certificação]]-TODAY())</f>
        <v>313</v>
      </c>
      <c r="J118" s="16" t="s">
        <v>14</v>
      </c>
      <c r="K118" s="16" t="s">
        <v>938</v>
      </c>
      <c r="L118" s="11" t="s">
        <v>816</v>
      </c>
    </row>
    <row r="119" spans="1:12" ht="20.399999999999999" x14ac:dyDescent="0.3">
      <c r="A119" s="11">
        <f>ROW(Tabela1[[#This Row],[Toolbox No / Container No]])-1</f>
        <v>118</v>
      </c>
      <c r="B119" s="11" t="s">
        <v>66</v>
      </c>
      <c r="C119" s="2" t="s">
        <v>56</v>
      </c>
      <c r="D119" s="11" t="s">
        <v>57</v>
      </c>
      <c r="E119" s="11" t="s">
        <v>67</v>
      </c>
      <c r="F119" s="5" t="s">
        <v>535</v>
      </c>
      <c r="G119" s="13">
        <v>45842.575694444444</v>
      </c>
      <c r="H119" s="14">
        <f>EDATE(Tabela1[[#This Row],[Data da calibração/certificação ]],12)</f>
        <v>46207</v>
      </c>
      <c r="I119" s="15">
        <f ca="1">INT(Tabela1[[#This Row],[Próxima data de calibração/certificação]]-TODAY())</f>
        <v>278</v>
      </c>
      <c r="J119" s="16" t="s">
        <v>14</v>
      </c>
      <c r="K119" s="16" t="s">
        <v>939</v>
      </c>
      <c r="L119" s="11" t="s">
        <v>817</v>
      </c>
    </row>
    <row r="120" spans="1:12" ht="20.399999999999999" x14ac:dyDescent="0.3">
      <c r="A120" s="11">
        <f>ROW(Tabela1[[#This Row],[Toolbox No / Container No]])-1</f>
        <v>119</v>
      </c>
      <c r="B120" s="11" t="s">
        <v>55</v>
      </c>
      <c r="C120" s="2" t="s">
        <v>56</v>
      </c>
      <c r="D120" s="11" t="s">
        <v>57</v>
      </c>
      <c r="E120" s="11" t="s">
        <v>58</v>
      </c>
      <c r="F120" s="5" t="s">
        <v>59</v>
      </c>
      <c r="G120" s="13">
        <v>45842.576388888891</v>
      </c>
      <c r="H120" s="14">
        <f>EDATE(Tabela1[[#This Row],[Data da calibração/certificação ]],12)</f>
        <v>46207</v>
      </c>
      <c r="I120" s="15">
        <f ca="1">INT(Tabela1[[#This Row],[Próxima data de calibração/certificação]]-TODAY())</f>
        <v>278</v>
      </c>
      <c r="J120" s="16" t="s">
        <v>14</v>
      </c>
      <c r="K120" s="16" t="s">
        <v>939</v>
      </c>
      <c r="L120" s="11" t="s">
        <v>818</v>
      </c>
    </row>
    <row r="121" spans="1:12" ht="20.399999999999999" x14ac:dyDescent="0.3">
      <c r="A121" s="11">
        <f>ROW(Tabela1[[#This Row],[Toolbox No / Container No]])-1</f>
        <v>120</v>
      </c>
      <c r="B121" s="11" t="s">
        <v>60</v>
      </c>
      <c r="C121" s="2" t="s">
        <v>56</v>
      </c>
      <c r="D121" s="11" t="s">
        <v>57</v>
      </c>
      <c r="E121" s="11" t="s">
        <v>61</v>
      </c>
      <c r="F121" s="5" t="s">
        <v>62</v>
      </c>
      <c r="G121" s="13">
        <v>45842.572916666664</v>
      </c>
      <c r="H121" s="14">
        <f>EDATE(Tabela1[[#This Row],[Data da calibração/certificação ]],12)</f>
        <v>46207</v>
      </c>
      <c r="I121" s="15">
        <f ca="1">INT(Tabela1[[#This Row],[Próxima data de calibração/certificação]]-TODAY())</f>
        <v>278</v>
      </c>
      <c r="J121" s="16" t="s">
        <v>14</v>
      </c>
      <c r="K121" s="16" t="s">
        <v>939</v>
      </c>
      <c r="L121" s="11" t="s">
        <v>819</v>
      </c>
    </row>
    <row r="122" spans="1:12" ht="20.399999999999999" x14ac:dyDescent="0.3">
      <c r="A122" s="11">
        <f>ROW(Tabela1[[#This Row],[Toolbox No / Container No]])-1</f>
        <v>121</v>
      </c>
      <c r="B122" s="11" t="s">
        <v>63</v>
      </c>
      <c r="C122" s="2" t="s">
        <v>56</v>
      </c>
      <c r="D122" s="11" t="s">
        <v>57</v>
      </c>
      <c r="E122" s="11" t="s">
        <v>64</v>
      </c>
      <c r="F122" s="5" t="s">
        <v>65</v>
      </c>
      <c r="G122" s="13">
        <v>45842.574305555558</v>
      </c>
      <c r="H122" s="14">
        <f>EDATE(Tabela1[[#This Row],[Data da calibração/certificação ]],12)</f>
        <v>46207</v>
      </c>
      <c r="I122" s="15">
        <f ca="1">INT(Tabela1[[#This Row],[Próxima data de calibração/certificação]]-TODAY())</f>
        <v>278</v>
      </c>
      <c r="J122" s="16" t="s">
        <v>14</v>
      </c>
      <c r="K122" s="16" t="s">
        <v>939</v>
      </c>
      <c r="L122" s="11" t="s">
        <v>820</v>
      </c>
    </row>
    <row r="123" spans="1:12" ht="20.399999999999999" x14ac:dyDescent="0.3">
      <c r="A123" s="11">
        <f>ROW(Tabela1[[#This Row],[Toolbox No / Container No]])-1</f>
        <v>122</v>
      </c>
      <c r="B123" s="11" t="s">
        <v>176</v>
      </c>
      <c r="C123" s="2" t="s">
        <v>177</v>
      </c>
      <c r="D123" s="11" t="s">
        <v>166</v>
      </c>
      <c r="E123" s="11" t="s">
        <v>178</v>
      </c>
      <c r="F123" s="5" t="s">
        <v>179</v>
      </c>
      <c r="G123" s="13">
        <v>45861.384027777778</v>
      </c>
      <c r="H123" s="14">
        <f>EDATE(Tabela1[[#This Row],[Data da calibração/certificação ]],12)</f>
        <v>46226</v>
      </c>
      <c r="I123" s="15">
        <f ca="1">INT(Tabela1[[#This Row],[Próxima data de calibração/certificação]]-TODAY())</f>
        <v>297</v>
      </c>
      <c r="J123" s="16" t="s">
        <v>14</v>
      </c>
      <c r="K123" s="16" t="s">
        <v>939</v>
      </c>
      <c r="L123" s="11" t="s">
        <v>821</v>
      </c>
    </row>
    <row r="124" spans="1:12" ht="20.399999999999999" x14ac:dyDescent="0.3">
      <c r="A124" s="11">
        <f>ROW(Tabela1[[#This Row],[Toolbox No / Container No]])-1</f>
        <v>123</v>
      </c>
      <c r="B124" s="18" t="s">
        <v>660</v>
      </c>
      <c r="C124" s="8" t="s">
        <v>661</v>
      </c>
      <c r="D124" s="18" t="s">
        <v>662</v>
      </c>
      <c r="E124" s="18"/>
      <c r="F124" s="9" t="s">
        <v>693</v>
      </c>
      <c r="G124" s="19">
        <v>45777.900694444441</v>
      </c>
      <c r="H124" s="14">
        <f>EDATE(Tabela1[[#This Row],[Data da calibração/certificação ]],12)</f>
        <v>46142</v>
      </c>
      <c r="I124" s="15">
        <f ca="1">INT(Tabela1[[#This Row],[Próxima data de calibração/certificação]]-TODAY())</f>
        <v>213</v>
      </c>
      <c r="J124" s="16" t="s">
        <v>14</v>
      </c>
      <c r="K124" s="16" t="s">
        <v>939</v>
      </c>
      <c r="L124" s="11" t="s">
        <v>822</v>
      </c>
    </row>
    <row r="125" spans="1:12" x14ac:dyDescent="0.3">
      <c r="A125" s="11">
        <f>ROW(Tabela1[[#This Row],[Toolbox No / Container No]])-1</f>
        <v>124</v>
      </c>
      <c r="B125" s="11" t="s">
        <v>489</v>
      </c>
      <c r="C125" s="2" t="s">
        <v>490</v>
      </c>
      <c r="D125" s="11" t="s">
        <v>166</v>
      </c>
      <c r="E125" s="11" t="s">
        <v>491</v>
      </c>
      <c r="F125" s="5" t="s">
        <v>492</v>
      </c>
      <c r="G125" s="13">
        <v>45727.45416666667</v>
      </c>
      <c r="H125" s="14">
        <f>EDATE(Tabela1[[#This Row],[Data da calibração/certificação ]],12)</f>
        <v>46092</v>
      </c>
      <c r="I125" s="15">
        <f ca="1">INT(Tabela1[[#This Row],[Próxima data de calibração/certificação]]-TODAY())</f>
        <v>163</v>
      </c>
      <c r="J125" s="16" t="s">
        <v>14</v>
      </c>
      <c r="K125" s="16" t="s">
        <v>939</v>
      </c>
      <c r="L125" s="11" t="s">
        <v>823</v>
      </c>
    </row>
    <row r="126" spans="1:12" ht="20.399999999999999" x14ac:dyDescent="0.3">
      <c r="A126" s="11">
        <f>ROW(Tabela1[[#This Row],[Toolbox No / Container No]])-1</f>
        <v>125</v>
      </c>
      <c r="B126" s="18" t="s">
        <v>642</v>
      </c>
      <c r="C126" s="8" t="s">
        <v>490</v>
      </c>
      <c r="D126" s="18" t="s">
        <v>643</v>
      </c>
      <c r="E126" s="18"/>
      <c r="F126" s="9" t="s">
        <v>685</v>
      </c>
      <c r="G126" s="19">
        <v>45805.570138888892</v>
      </c>
      <c r="H126" s="14">
        <f>EDATE(Tabela1[[#This Row],[Data da calibração/certificação ]],12)</f>
        <v>46170</v>
      </c>
      <c r="I126" s="15">
        <f ca="1">INT(Tabela1[[#This Row],[Próxima data de calibração/certificação]]-TODAY())</f>
        <v>241</v>
      </c>
      <c r="J126" s="16" t="s">
        <v>14</v>
      </c>
      <c r="K126" s="16" t="s">
        <v>939</v>
      </c>
      <c r="L126" s="11" t="s">
        <v>824</v>
      </c>
    </row>
    <row r="127" spans="1:12" ht="20.399999999999999" x14ac:dyDescent="0.3">
      <c r="A127" s="11">
        <f>ROW(Tabela1[[#This Row],[Toolbox No / Container No]])-1</f>
        <v>126</v>
      </c>
      <c r="B127" s="11" t="s">
        <v>416</v>
      </c>
      <c r="C127" s="2" t="s">
        <v>417</v>
      </c>
      <c r="D127" s="11" t="s">
        <v>21</v>
      </c>
      <c r="F127" s="5" t="s">
        <v>418</v>
      </c>
      <c r="G127" s="13">
        <v>45794.651388888888</v>
      </c>
      <c r="H127" s="14">
        <f>EDATE(Tabela1[[#This Row],[Data da calibração/certificação ]],12)</f>
        <v>46159</v>
      </c>
      <c r="I127" s="15">
        <f ca="1">INT(Tabela1[[#This Row],[Próxima data de calibração/certificação]]-TODAY())</f>
        <v>230</v>
      </c>
      <c r="J127" s="16" t="s">
        <v>14</v>
      </c>
      <c r="K127" s="16" t="s">
        <v>940</v>
      </c>
      <c r="L127" s="11" t="s">
        <v>825</v>
      </c>
    </row>
    <row r="128" spans="1:12" ht="20.399999999999999" x14ac:dyDescent="0.3">
      <c r="A128" s="11">
        <f>ROW(Tabela1[[#This Row],[Toolbox No / Container No]])-1</f>
        <v>127</v>
      </c>
      <c r="B128" s="11" t="s">
        <v>419</v>
      </c>
      <c r="C128" s="2" t="s">
        <v>417</v>
      </c>
      <c r="D128" s="11" t="s">
        <v>21</v>
      </c>
      <c r="F128" s="5" t="s">
        <v>420</v>
      </c>
      <c r="G128" s="13">
        <v>45727.347916666666</v>
      </c>
      <c r="H128" s="14">
        <f>EDATE(Tabela1[[#This Row],[Data da calibração/certificação ]],12)</f>
        <v>46092</v>
      </c>
      <c r="I128" s="15">
        <f ca="1">INT(Tabela1[[#This Row],[Próxima data de calibração/certificação]]-TODAY())</f>
        <v>163</v>
      </c>
      <c r="J128" s="16" t="s">
        <v>14</v>
      </c>
      <c r="K128" s="16" t="s">
        <v>940</v>
      </c>
      <c r="L128" s="11" t="s">
        <v>826</v>
      </c>
    </row>
    <row r="129" spans="1:12" x14ac:dyDescent="0.3">
      <c r="A129" s="11">
        <f>ROW(Tabela1[[#This Row],[Toolbox No / Container No]])-1</f>
        <v>128</v>
      </c>
      <c r="B129" s="11" t="s">
        <v>493</v>
      </c>
      <c r="C129" s="2" t="s">
        <v>417</v>
      </c>
      <c r="D129" s="11" t="s">
        <v>494</v>
      </c>
      <c r="F129" s="5" t="s">
        <v>495</v>
      </c>
      <c r="G129" s="13">
        <v>45707.476388888892</v>
      </c>
      <c r="H129" s="14">
        <f>EDATE(Tabela1[[#This Row],[Data da calibração/certificação ]],12)</f>
        <v>46072</v>
      </c>
      <c r="I129" s="15">
        <f ca="1">INT(Tabela1[[#This Row],[Próxima data de calibração/certificação]]-TODAY())</f>
        <v>143</v>
      </c>
      <c r="J129" s="16" t="s">
        <v>14</v>
      </c>
      <c r="K129" s="16" t="s">
        <v>940</v>
      </c>
      <c r="L129" s="11" t="s">
        <v>827</v>
      </c>
    </row>
    <row r="130" spans="1:12" ht="20.399999999999999" x14ac:dyDescent="0.3">
      <c r="A130" s="11">
        <f>ROW(Tabela1[[#This Row],[Toolbox No / Container No]])-1</f>
        <v>129</v>
      </c>
      <c r="B130" s="18" t="s">
        <v>637</v>
      </c>
      <c r="C130" s="8" t="s">
        <v>417</v>
      </c>
      <c r="D130" s="18" t="s">
        <v>21</v>
      </c>
      <c r="E130" s="18"/>
      <c r="F130" s="9" t="s">
        <v>682</v>
      </c>
      <c r="G130" s="19">
        <v>45727.652777777781</v>
      </c>
      <c r="H130" s="14">
        <f>EDATE(Tabela1[[#This Row],[Data da calibração/certificação ]],12)</f>
        <v>46092</v>
      </c>
      <c r="I130" s="15">
        <f ca="1">INT(Tabela1[[#This Row],[Próxima data de calibração/certificação]]-TODAY())</f>
        <v>163</v>
      </c>
      <c r="J130" s="16" t="s">
        <v>14</v>
      </c>
      <c r="K130" s="16" t="s">
        <v>940</v>
      </c>
      <c r="L130" s="11" t="s">
        <v>828</v>
      </c>
    </row>
    <row r="131" spans="1:12" ht="20.399999999999999" x14ac:dyDescent="0.3">
      <c r="A131" s="11">
        <f>ROW(Tabela1[[#This Row],[Toolbox No / Container No]])-1</f>
        <v>130</v>
      </c>
      <c r="B131" s="18" t="s">
        <v>638</v>
      </c>
      <c r="C131" s="8" t="s">
        <v>639</v>
      </c>
      <c r="D131" s="18" t="s">
        <v>640</v>
      </c>
      <c r="E131" s="18"/>
      <c r="F131" s="9" t="s">
        <v>683</v>
      </c>
      <c r="G131" s="19">
        <v>45707.629861111112</v>
      </c>
      <c r="H131" s="14">
        <f>EDATE(Tabela1[[#This Row],[Data da calibração/certificação ]],12)</f>
        <v>46072</v>
      </c>
      <c r="I131" s="15">
        <f ca="1">INT(Tabela1[[#This Row],[Próxima data de calibração/certificação]]-TODAY())</f>
        <v>143</v>
      </c>
      <c r="J131" s="16" t="s">
        <v>14</v>
      </c>
      <c r="K131" s="16" t="s">
        <v>940</v>
      </c>
      <c r="L131" s="11" t="s">
        <v>829</v>
      </c>
    </row>
    <row r="132" spans="1:12" ht="20.399999999999999" x14ac:dyDescent="0.3">
      <c r="A132" s="11">
        <f>ROW(Tabela1[[#This Row],[Toolbox No / Container No]])-1</f>
        <v>131</v>
      </c>
      <c r="B132" s="18" t="s">
        <v>641</v>
      </c>
      <c r="C132" s="8" t="s">
        <v>639</v>
      </c>
      <c r="D132" s="18" t="s">
        <v>88</v>
      </c>
      <c r="E132" s="18"/>
      <c r="F132" s="9" t="s">
        <v>684</v>
      </c>
      <c r="G132" s="19">
        <v>45727.65902777778</v>
      </c>
      <c r="H132" s="14">
        <f>EDATE(Tabela1[[#This Row],[Data da calibração/certificação ]],12)</f>
        <v>46092</v>
      </c>
      <c r="I132" s="15">
        <f ca="1">INT(Tabela1[[#This Row],[Próxima data de calibração/certificação]]-TODAY())</f>
        <v>163</v>
      </c>
      <c r="J132" s="16" t="s">
        <v>14</v>
      </c>
      <c r="K132" s="16" t="s">
        <v>940</v>
      </c>
      <c r="L132" s="11" t="s">
        <v>830</v>
      </c>
    </row>
    <row r="133" spans="1:12" ht="30.6" x14ac:dyDescent="0.3">
      <c r="A133" s="11">
        <f>ROW(Tabela1[[#This Row],[Toolbox No / Container No]])-1</f>
        <v>132</v>
      </c>
      <c r="B133" s="11" t="s">
        <v>51</v>
      </c>
      <c r="C133" s="2" t="s">
        <v>52</v>
      </c>
      <c r="D133" s="11" t="s">
        <v>53</v>
      </c>
      <c r="F133" s="5" t="s">
        <v>54</v>
      </c>
      <c r="G133" s="13">
        <v>45842.57708333333</v>
      </c>
      <c r="H133" s="14">
        <f>EDATE(Tabela1[[#This Row],[Data da calibração/certificação ]],12)</f>
        <v>46207</v>
      </c>
      <c r="I133" s="15">
        <f ca="1">INT(Tabela1[[#This Row],[Próxima data de calibração/certificação]]-TODAY())</f>
        <v>278</v>
      </c>
      <c r="J133" s="16" t="s">
        <v>14</v>
      </c>
      <c r="K133" s="16" t="s">
        <v>941</v>
      </c>
      <c r="L133" s="11" t="s">
        <v>831</v>
      </c>
    </row>
    <row r="134" spans="1:12" ht="32.4" x14ac:dyDescent="0.3">
      <c r="A134" s="11">
        <f>ROW(Tabela1[[#This Row],[Toolbox No / Container No]])-1</f>
        <v>133</v>
      </c>
      <c r="B134" s="16" t="s">
        <v>314</v>
      </c>
      <c r="C134" s="3" t="s">
        <v>315</v>
      </c>
      <c r="D134" s="16" t="s">
        <v>316</v>
      </c>
      <c r="E134" s="16" t="s">
        <v>317</v>
      </c>
      <c r="F134" s="4" t="s">
        <v>318</v>
      </c>
      <c r="G134" s="14">
        <v>45744.711111111108</v>
      </c>
      <c r="H134" s="14">
        <f>EDATE(Tabela1[[#This Row],[Data da calibração/certificação ]],12)</f>
        <v>46109</v>
      </c>
      <c r="I134" s="15">
        <f ca="1">INT(Tabela1[[#This Row],[Próxima data de calibração/certificação]]-TODAY())</f>
        <v>180</v>
      </c>
      <c r="J134" s="16" t="s">
        <v>14</v>
      </c>
      <c r="K134" s="16" t="s">
        <v>942</v>
      </c>
      <c r="L134" s="17" t="s">
        <v>832</v>
      </c>
    </row>
    <row r="135" spans="1:12" ht="32.4" x14ac:dyDescent="0.3">
      <c r="A135" s="11">
        <f>ROW(Tabela1[[#This Row],[Toolbox No / Container No]])-1</f>
        <v>134</v>
      </c>
      <c r="B135" s="16" t="s">
        <v>309</v>
      </c>
      <c r="C135" s="3" t="s">
        <v>310</v>
      </c>
      <c r="D135" s="16" t="s">
        <v>311</v>
      </c>
      <c r="E135" s="16" t="s">
        <v>312</v>
      </c>
      <c r="F135" s="4" t="s">
        <v>313</v>
      </c>
      <c r="G135" s="14">
        <v>45770.385416666664</v>
      </c>
      <c r="H135" s="14">
        <f>EDATE(Tabela1[[#This Row],[Data da calibração/certificação ]],12)</f>
        <v>46135</v>
      </c>
      <c r="I135" s="15">
        <f ca="1">INT(Tabela1[[#This Row],[Próxima data de calibração/certificação]]-TODAY())</f>
        <v>206</v>
      </c>
      <c r="J135" s="16" t="s">
        <v>14</v>
      </c>
      <c r="K135" s="16" t="s">
        <v>943</v>
      </c>
      <c r="L135" s="11" t="s">
        <v>833</v>
      </c>
    </row>
    <row r="136" spans="1:12" ht="20.399999999999999" x14ac:dyDescent="0.3">
      <c r="A136" s="11">
        <f>ROW(Tabela1[[#This Row],[Toolbox No / Container No]])-1</f>
        <v>135</v>
      </c>
      <c r="B136" s="18" t="s">
        <v>646</v>
      </c>
      <c r="C136" s="8" t="s">
        <v>647</v>
      </c>
      <c r="D136" s="18" t="s">
        <v>21</v>
      </c>
      <c r="E136" s="18"/>
      <c r="F136" s="9" t="s">
        <v>687</v>
      </c>
      <c r="G136" s="19">
        <v>45701.637499999997</v>
      </c>
      <c r="H136" s="14">
        <f>EDATE(Tabela1[[#This Row],[Data da calibração/certificação ]],12)</f>
        <v>46066</v>
      </c>
      <c r="I136" s="15">
        <f ca="1">INT(Tabela1[[#This Row],[Próxima data de calibração/certificação]]-TODAY())</f>
        <v>137</v>
      </c>
      <c r="J136" s="16" t="s">
        <v>14</v>
      </c>
      <c r="K136" s="16" t="s">
        <v>944</v>
      </c>
      <c r="L136" s="11" t="s">
        <v>834</v>
      </c>
    </row>
    <row r="137" spans="1:12" ht="20.399999999999999" x14ac:dyDescent="0.3">
      <c r="A137" s="11">
        <f>ROW(Tabela1[[#This Row],[Toolbox No / Container No]])-1</f>
        <v>136</v>
      </c>
      <c r="B137" s="11" t="s">
        <v>108</v>
      </c>
      <c r="C137" s="2" t="s">
        <v>109</v>
      </c>
      <c r="D137" s="11" t="s">
        <v>110</v>
      </c>
      <c r="E137" s="11" t="s">
        <v>111</v>
      </c>
      <c r="F137" s="5" t="s">
        <v>112</v>
      </c>
      <c r="G137" s="13">
        <v>45783.46875</v>
      </c>
      <c r="H137" s="14">
        <f>EDATE(Tabela1[[#This Row],[Data da calibração/certificação ]],12)</f>
        <v>46148</v>
      </c>
      <c r="I137" s="15">
        <f ca="1">INT(Tabela1[[#This Row],[Próxima data de calibração/certificação]]-TODAY())</f>
        <v>219</v>
      </c>
      <c r="J137" s="16" t="s">
        <v>14</v>
      </c>
      <c r="K137" s="16" t="s">
        <v>945</v>
      </c>
      <c r="L137" s="11" t="s">
        <v>835</v>
      </c>
    </row>
    <row r="138" spans="1:12" ht="20.399999999999999" x14ac:dyDescent="0.3">
      <c r="A138" s="11">
        <f>ROW(Tabela1[[#This Row],[Toolbox No / Container No]])-1</f>
        <v>137</v>
      </c>
      <c r="B138" s="11" t="s">
        <v>113</v>
      </c>
      <c r="C138" s="2" t="s">
        <v>109</v>
      </c>
      <c r="D138" s="11" t="s">
        <v>110</v>
      </c>
      <c r="E138" s="11" t="s">
        <v>114</v>
      </c>
      <c r="F138" s="5" t="s">
        <v>115</v>
      </c>
      <c r="G138" s="13">
        <v>45783.770138888889</v>
      </c>
      <c r="H138" s="14">
        <f>EDATE(Tabela1[[#This Row],[Data da calibração/certificação ]],12)</f>
        <v>46148</v>
      </c>
      <c r="I138" s="15">
        <f ca="1">INT(Tabela1[[#This Row],[Próxima data de calibração/certificação]]-TODAY())</f>
        <v>219</v>
      </c>
      <c r="J138" s="16" t="s">
        <v>14</v>
      </c>
      <c r="K138" s="16" t="s">
        <v>945</v>
      </c>
      <c r="L138" s="11" t="s">
        <v>836</v>
      </c>
    </row>
    <row r="139" spans="1:12" ht="20.399999999999999" x14ac:dyDescent="0.3">
      <c r="A139" s="11">
        <f>ROW(Tabela1[[#This Row],[Toolbox No / Container No]])-1</f>
        <v>138</v>
      </c>
      <c r="B139" s="11" t="s">
        <v>116</v>
      </c>
      <c r="C139" s="2" t="s">
        <v>109</v>
      </c>
      <c r="D139" s="11" t="s">
        <v>110</v>
      </c>
      <c r="E139" s="11" t="s">
        <v>117</v>
      </c>
      <c r="F139" s="5" t="s">
        <v>118</v>
      </c>
      <c r="G139" s="13">
        <v>45783.560416666667</v>
      </c>
      <c r="H139" s="14">
        <f>EDATE(Tabela1[[#This Row],[Data da calibração/certificação ]],12)</f>
        <v>46148</v>
      </c>
      <c r="I139" s="15">
        <f ca="1">INT(Tabela1[[#This Row],[Próxima data de calibração/certificação]]-TODAY())</f>
        <v>219</v>
      </c>
      <c r="J139" s="16" t="s">
        <v>14</v>
      </c>
      <c r="K139" s="16" t="s">
        <v>945</v>
      </c>
      <c r="L139" s="11" t="s">
        <v>837</v>
      </c>
    </row>
    <row r="140" spans="1:12" ht="20.399999999999999" x14ac:dyDescent="0.3">
      <c r="A140" s="11">
        <f>ROW(Tabela1[[#This Row],[Toolbox No / Container No]])-1</f>
        <v>139</v>
      </c>
      <c r="B140" s="11" t="s">
        <v>119</v>
      </c>
      <c r="C140" s="2" t="s">
        <v>109</v>
      </c>
      <c r="D140" s="11" t="s">
        <v>110</v>
      </c>
      <c r="E140" s="11" t="s">
        <v>120</v>
      </c>
      <c r="F140" s="5" t="s">
        <v>121</v>
      </c>
      <c r="G140" s="13">
        <v>45783.779166666667</v>
      </c>
      <c r="H140" s="14">
        <f>EDATE(Tabela1[[#This Row],[Data da calibração/certificação ]],12)</f>
        <v>46148</v>
      </c>
      <c r="I140" s="15">
        <f ca="1">INT(Tabela1[[#This Row],[Próxima data de calibração/certificação]]-TODAY())</f>
        <v>219</v>
      </c>
      <c r="J140" s="16" t="s">
        <v>14</v>
      </c>
      <c r="K140" s="16" t="s">
        <v>945</v>
      </c>
      <c r="L140" s="11" t="s">
        <v>838</v>
      </c>
    </row>
    <row r="141" spans="1:12" ht="20.399999999999999" x14ac:dyDescent="0.3">
      <c r="A141" s="11">
        <f>ROW(Tabela1[[#This Row],[Toolbox No / Container No]])-1</f>
        <v>140</v>
      </c>
      <c r="B141" s="11" t="s">
        <v>122</v>
      </c>
      <c r="C141" s="2" t="s">
        <v>109</v>
      </c>
      <c r="D141" s="11" t="s">
        <v>110</v>
      </c>
      <c r="E141" s="11" t="s">
        <v>123</v>
      </c>
      <c r="F141" s="5" t="s">
        <v>124</v>
      </c>
      <c r="G141" s="13">
        <v>45783.561805555553</v>
      </c>
      <c r="H141" s="14">
        <f>EDATE(Tabela1[[#This Row],[Data da calibração/certificação ]],12)</f>
        <v>46148</v>
      </c>
      <c r="I141" s="15">
        <f ca="1">INT(Tabela1[[#This Row],[Próxima data de calibração/certificação]]-TODAY())</f>
        <v>219</v>
      </c>
      <c r="J141" s="16" t="s">
        <v>14</v>
      </c>
      <c r="K141" s="16" t="s">
        <v>945</v>
      </c>
      <c r="L141" s="11" t="s">
        <v>839</v>
      </c>
    </row>
    <row r="142" spans="1:12" ht="20.399999999999999" x14ac:dyDescent="0.3">
      <c r="A142" s="11">
        <f>ROW(Tabela1[[#This Row],[Toolbox No / Container No]])-1</f>
        <v>141</v>
      </c>
      <c r="B142" s="11" t="s">
        <v>125</v>
      </c>
      <c r="C142" s="2" t="s">
        <v>109</v>
      </c>
      <c r="D142" s="11" t="s">
        <v>110</v>
      </c>
      <c r="E142" s="11" t="s">
        <v>126</v>
      </c>
      <c r="F142" s="5" t="s">
        <v>127</v>
      </c>
      <c r="G142" s="13">
        <v>45783.563194444447</v>
      </c>
      <c r="H142" s="14">
        <f>EDATE(Tabela1[[#This Row],[Data da calibração/certificação ]],12)</f>
        <v>46148</v>
      </c>
      <c r="I142" s="15">
        <f ca="1">INT(Tabela1[[#This Row],[Próxima data de calibração/certificação]]-TODAY())</f>
        <v>219</v>
      </c>
      <c r="J142" s="16" t="s">
        <v>14</v>
      </c>
      <c r="K142" s="16" t="s">
        <v>945</v>
      </c>
      <c r="L142" s="11" t="s">
        <v>840</v>
      </c>
    </row>
    <row r="143" spans="1:12" ht="20.399999999999999" x14ac:dyDescent="0.3">
      <c r="A143" s="11">
        <f>ROW(Tabela1[[#This Row],[Toolbox No / Container No]])-1</f>
        <v>142</v>
      </c>
      <c r="B143" s="11" t="s">
        <v>128</v>
      </c>
      <c r="C143" s="2" t="s">
        <v>109</v>
      </c>
      <c r="D143" s="11" t="s">
        <v>110</v>
      </c>
      <c r="E143" s="11" t="s">
        <v>129</v>
      </c>
      <c r="F143" s="5" t="s">
        <v>130</v>
      </c>
      <c r="G143" s="13">
        <v>45783.5625</v>
      </c>
      <c r="H143" s="14">
        <f>EDATE(Tabela1[[#This Row],[Data da calibração/certificação ]],12)</f>
        <v>46148</v>
      </c>
      <c r="I143" s="15">
        <f ca="1">INT(Tabela1[[#This Row],[Próxima data de calibração/certificação]]-TODAY())</f>
        <v>219</v>
      </c>
      <c r="J143" s="16" t="s">
        <v>14</v>
      </c>
      <c r="K143" s="16" t="s">
        <v>945</v>
      </c>
      <c r="L143" s="11" t="s">
        <v>841</v>
      </c>
    </row>
    <row r="144" spans="1:12" ht="20.399999999999999" x14ac:dyDescent="0.3">
      <c r="A144" s="11">
        <f>ROW(Tabela1[[#This Row],[Toolbox No / Container No]])-1</f>
        <v>143</v>
      </c>
      <c r="B144" s="11" t="s">
        <v>131</v>
      </c>
      <c r="C144" s="2" t="s">
        <v>109</v>
      </c>
      <c r="D144" s="11" t="s">
        <v>132</v>
      </c>
      <c r="E144" s="11" t="s">
        <v>133</v>
      </c>
      <c r="F144" s="5" t="s">
        <v>134</v>
      </c>
      <c r="G144" s="13">
        <v>45783.359027777777</v>
      </c>
      <c r="H144" s="14">
        <f>EDATE(Tabela1[[#This Row],[Data da calibração/certificação ]],12)</f>
        <v>46148</v>
      </c>
      <c r="I144" s="15">
        <f ca="1">INT(Tabela1[[#This Row],[Próxima data de calibração/certificação]]-TODAY())</f>
        <v>219</v>
      </c>
      <c r="J144" s="16" t="s">
        <v>14</v>
      </c>
      <c r="K144" s="16" t="s">
        <v>945</v>
      </c>
      <c r="L144" s="11" t="s">
        <v>842</v>
      </c>
    </row>
    <row r="145" spans="1:12" ht="20.399999999999999" x14ac:dyDescent="0.3">
      <c r="A145" s="11">
        <f>ROW(Tabela1[[#This Row],[Toolbox No / Container No]])-1</f>
        <v>144</v>
      </c>
      <c r="B145" s="11" t="s">
        <v>169</v>
      </c>
      <c r="C145" s="2" t="s">
        <v>109</v>
      </c>
      <c r="D145" s="11" t="s">
        <v>21</v>
      </c>
      <c r="E145" s="11" t="s">
        <v>170</v>
      </c>
      <c r="F145" s="5" t="s">
        <v>171</v>
      </c>
      <c r="G145" s="13">
        <v>45842.570833333331</v>
      </c>
      <c r="H145" s="14">
        <f>EDATE(Tabela1[[#This Row],[Data da calibração/certificação ]],12)</f>
        <v>46207</v>
      </c>
      <c r="I145" s="15">
        <f ca="1">INT(Tabela1[[#This Row],[Próxima data de calibração/certificação]]-TODAY())</f>
        <v>278</v>
      </c>
      <c r="J145" s="16" t="s">
        <v>14</v>
      </c>
      <c r="K145" s="16" t="s">
        <v>945</v>
      </c>
      <c r="L145" s="11" t="s">
        <v>843</v>
      </c>
    </row>
    <row r="146" spans="1:12" ht="20.399999999999999" x14ac:dyDescent="0.3">
      <c r="A146" s="11">
        <f>ROW(Tabela1[[#This Row],[Toolbox No / Container No]])-1</f>
        <v>145</v>
      </c>
      <c r="B146" s="18" t="s">
        <v>644</v>
      </c>
      <c r="C146" s="8" t="s">
        <v>109</v>
      </c>
      <c r="D146" s="18" t="s">
        <v>21</v>
      </c>
      <c r="E146" s="18" t="s">
        <v>645</v>
      </c>
      <c r="F146" s="9" t="s">
        <v>686</v>
      </c>
      <c r="G146" s="19">
        <v>45727.39166666667</v>
      </c>
      <c r="H146" s="14">
        <f>EDATE(Tabela1[[#This Row],[Data da calibração/certificação ]],12)</f>
        <v>46092</v>
      </c>
      <c r="I146" s="15">
        <f ca="1">INT(Tabela1[[#This Row],[Próxima data de calibração/certificação]]-TODAY())</f>
        <v>163</v>
      </c>
      <c r="J146" s="16" t="s">
        <v>14</v>
      </c>
      <c r="K146" s="16" t="s">
        <v>945</v>
      </c>
      <c r="L146" s="11" t="s">
        <v>844</v>
      </c>
    </row>
    <row r="147" spans="1:12" ht="20.399999999999999" x14ac:dyDescent="0.3">
      <c r="A147" s="11">
        <f>ROW(Tabela1[[#This Row],[Toolbox No / Container No]])-1</f>
        <v>146</v>
      </c>
      <c r="B147" s="18" t="s">
        <v>653</v>
      </c>
      <c r="C147" s="8" t="s">
        <v>109</v>
      </c>
      <c r="D147" s="18" t="s">
        <v>21</v>
      </c>
      <c r="E147" s="18" t="s">
        <v>654</v>
      </c>
      <c r="F147" s="9" t="s">
        <v>690</v>
      </c>
      <c r="G147" s="19">
        <v>45727.568055555559</v>
      </c>
      <c r="H147" s="14">
        <f>EDATE(Tabela1[[#This Row],[Data da calibração/certificação ]],12)</f>
        <v>46092</v>
      </c>
      <c r="I147" s="15">
        <f ca="1">INT(Tabela1[[#This Row],[Próxima data de calibração/certificação]]-TODAY())</f>
        <v>163</v>
      </c>
      <c r="J147" s="16" t="s">
        <v>14</v>
      </c>
      <c r="K147" s="16" t="s">
        <v>945</v>
      </c>
      <c r="L147" s="11" t="s">
        <v>845</v>
      </c>
    </row>
    <row r="148" spans="1:12" ht="20.399999999999999" x14ac:dyDescent="0.3">
      <c r="A148" s="11">
        <f>ROW(Tabela1[[#This Row],[Toolbox No / Container No]])-1</f>
        <v>147</v>
      </c>
      <c r="B148" s="18" t="s">
        <v>658</v>
      </c>
      <c r="C148" s="8" t="s">
        <v>109</v>
      </c>
      <c r="D148" s="18" t="s">
        <v>21</v>
      </c>
      <c r="E148" s="18" t="s">
        <v>659</v>
      </c>
      <c r="F148" s="9" t="s">
        <v>692</v>
      </c>
      <c r="G148" s="19">
        <v>45727.368750000001</v>
      </c>
      <c r="H148" s="14">
        <f>EDATE(Tabela1[[#This Row],[Data da calibração/certificação ]],12)</f>
        <v>46092</v>
      </c>
      <c r="I148" s="15">
        <f ca="1">INT(Tabela1[[#This Row],[Próxima data de calibração/certificação]]-TODAY())</f>
        <v>163</v>
      </c>
      <c r="J148" s="16" t="s">
        <v>14</v>
      </c>
      <c r="K148" s="16" t="s">
        <v>945</v>
      </c>
      <c r="L148" s="11" t="s">
        <v>846</v>
      </c>
    </row>
    <row r="149" spans="1:12" ht="20.399999999999999" x14ac:dyDescent="0.3">
      <c r="A149" s="11">
        <f>ROW(Tabela1[[#This Row],[Toolbox No / Container No]])-1</f>
        <v>148</v>
      </c>
      <c r="B149" s="18" t="s">
        <v>670</v>
      </c>
      <c r="C149" s="8" t="s">
        <v>109</v>
      </c>
      <c r="D149" s="18" t="s">
        <v>21</v>
      </c>
      <c r="E149" s="18" t="s">
        <v>671</v>
      </c>
      <c r="F149" s="9" t="s">
        <v>697</v>
      </c>
      <c r="G149" s="19">
        <v>45727.373611111114</v>
      </c>
      <c r="H149" s="14">
        <f>EDATE(Tabela1[[#This Row],[Data da calibração/certificação ]],12)</f>
        <v>46092</v>
      </c>
      <c r="I149" s="15">
        <f ca="1">INT(Tabela1[[#This Row],[Próxima data de calibração/certificação]]-TODAY())</f>
        <v>163</v>
      </c>
      <c r="J149" s="16" t="s">
        <v>14</v>
      </c>
      <c r="K149" s="16" t="s">
        <v>945</v>
      </c>
      <c r="L149" s="11" t="s">
        <v>847</v>
      </c>
    </row>
    <row r="150" spans="1:12" ht="20.399999999999999" x14ac:dyDescent="0.3">
      <c r="A150" s="11">
        <f>ROW(Tabela1[[#This Row],[Toolbox No / Container No]])-1</f>
        <v>149</v>
      </c>
      <c r="B150" s="16" t="s">
        <v>594</v>
      </c>
      <c r="C150" s="3" t="s">
        <v>595</v>
      </c>
      <c r="D150" s="16" t="s">
        <v>21</v>
      </c>
      <c r="E150" s="16" t="s">
        <v>596</v>
      </c>
      <c r="F150" s="6" t="s">
        <v>605</v>
      </c>
      <c r="G150" s="14">
        <v>45684.40625</v>
      </c>
      <c r="H150" s="14">
        <f>EDATE(Tabela1[[#This Row],[Data da calibração/certificação ]],12)</f>
        <v>46049</v>
      </c>
      <c r="I150" s="15">
        <f ca="1">INT(Tabela1[[#This Row],[Próxima data de calibração/certificação]]-TODAY())</f>
        <v>120</v>
      </c>
      <c r="J150" s="16" t="s">
        <v>14</v>
      </c>
      <c r="K150" s="16" t="s">
        <v>946</v>
      </c>
      <c r="L150" s="11" t="s">
        <v>848</v>
      </c>
    </row>
    <row r="151" spans="1:12" x14ac:dyDescent="0.3">
      <c r="A151" s="11">
        <f>ROW(Tabela1[[#This Row],[Toolbox No / Container No]])-1</f>
        <v>150</v>
      </c>
      <c r="B151" s="16" t="s">
        <v>597</v>
      </c>
      <c r="C151" s="3" t="s">
        <v>598</v>
      </c>
      <c r="D151" s="16" t="s">
        <v>599</v>
      </c>
      <c r="E151" s="16"/>
      <c r="F151" s="6" t="s">
        <v>606</v>
      </c>
      <c r="G151" s="14">
        <v>45684.379861111112</v>
      </c>
      <c r="H151" s="14">
        <f>EDATE(Tabela1[[#This Row],[Data da calibração/certificação ]],12)</f>
        <v>46049</v>
      </c>
      <c r="I151" s="15">
        <f ca="1">INT(Tabela1[[#This Row],[Próxima data de calibração/certificação]]-TODAY())</f>
        <v>120</v>
      </c>
      <c r="J151" s="16" t="s">
        <v>14</v>
      </c>
      <c r="K151" s="16" t="s">
        <v>947</v>
      </c>
      <c r="L151" s="11" t="s">
        <v>849</v>
      </c>
    </row>
    <row r="152" spans="1:12" ht="30.6" x14ac:dyDescent="0.3">
      <c r="A152" s="11">
        <f>ROW(Tabela1[[#This Row],[Toolbox No / Container No]])-1</f>
        <v>151</v>
      </c>
      <c r="B152" s="11" t="s">
        <v>374</v>
      </c>
      <c r="C152" s="2" t="s">
        <v>375</v>
      </c>
      <c r="D152" s="11" t="s">
        <v>376</v>
      </c>
      <c r="E152" s="11" t="s">
        <v>377</v>
      </c>
      <c r="F152" s="5" t="s">
        <v>378</v>
      </c>
      <c r="G152" s="13">
        <v>45665</v>
      </c>
      <c r="H152" s="14">
        <f>EDATE(Tabela1[[#This Row],[Data da calibração/certificação ]],12)</f>
        <v>46030</v>
      </c>
      <c r="I152" s="15">
        <f ca="1">INT(Tabela1[[#This Row],[Próxima data de calibração/certificação]]-TODAY())</f>
        <v>101</v>
      </c>
      <c r="J152" s="16" t="s">
        <v>14</v>
      </c>
      <c r="K152" s="16" t="s">
        <v>948</v>
      </c>
      <c r="L152" s="11" t="s">
        <v>850</v>
      </c>
    </row>
    <row r="153" spans="1:12" ht="20.399999999999999" x14ac:dyDescent="0.3">
      <c r="A153" s="11">
        <f>ROW(Tabela1[[#This Row],[Toolbox No / Container No]])-1</f>
        <v>152</v>
      </c>
      <c r="B153" s="16" t="s">
        <v>600</v>
      </c>
      <c r="C153" s="3" t="s">
        <v>375</v>
      </c>
      <c r="D153" s="16" t="s">
        <v>601</v>
      </c>
      <c r="E153" s="16" t="s">
        <v>602</v>
      </c>
      <c r="F153" s="6" t="s">
        <v>607</v>
      </c>
      <c r="G153" s="14">
        <v>45663.612500000003</v>
      </c>
      <c r="H153" s="14">
        <f>EDATE(Tabela1[[#This Row],[Data da calibração/certificação ]],12)</f>
        <v>46028</v>
      </c>
      <c r="I153" s="15">
        <f ca="1">INT(Tabela1[[#This Row],[Próxima data de calibração/certificação]]-TODAY())</f>
        <v>99</v>
      </c>
      <c r="J153" s="16" t="s">
        <v>14</v>
      </c>
      <c r="K153" s="16" t="s">
        <v>948</v>
      </c>
      <c r="L153" s="11" t="s">
        <v>851</v>
      </c>
    </row>
    <row r="154" spans="1:12" ht="30.6" x14ac:dyDescent="0.3">
      <c r="A154" s="11">
        <f>ROW(Tabela1[[#This Row],[Toolbox No / Container No]])-1</f>
        <v>153</v>
      </c>
      <c r="B154" s="11" t="s">
        <v>29</v>
      </c>
      <c r="C154" s="2" t="s">
        <v>30</v>
      </c>
      <c r="D154" s="11" t="s">
        <v>31</v>
      </c>
      <c r="F154" s="5" t="s">
        <v>530</v>
      </c>
      <c r="G154" s="13">
        <v>45860.356249999997</v>
      </c>
      <c r="H154" s="14">
        <f>EDATE(Tabela1[[#This Row],[Data da calibração/certificação ]],12)</f>
        <v>46225</v>
      </c>
      <c r="I154" s="15">
        <f ca="1">INT(Tabela1[[#This Row],[Próxima data de calibração/certificação]]-TODAY())</f>
        <v>296</v>
      </c>
      <c r="J154" s="16" t="s">
        <v>14</v>
      </c>
      <c r="K154" s="16" t="s">
        <v>949</v>
      </c>
      <c r="L154" s="11" t="s">
        <v>852</v>
      </c>
    </row>
    <row r="155" spans="1:12" ht="30.6" x14ac:dyDescent="0.3">
      <c r="A155" s="11">
        <f>ROW(Tabela1[[#This Row],[Toolbox No / Container No]])-1</f>
        <v>154</v>
      </c>
      <c r="B155" s="11" t="s">
        <v>32</v>
      </c>
      <c r="C155" s="2" t="s">
        <v>30</v>
      </c>
      <c r="D155" s="11" t="s">
        <v>31</v>
      </c>
      <c r="F155" s="5" t="s">
        <v>531</v>
      </c>
      <c r="G155" s="13">
        <v>45860.354861111111</v>
      </c>
      <c r="H155" s="14">
        <f>EDATE(Tabela1[[#This Row],[Data da calibração/certificação ]],12)</f>
        <v>46225</v>
      </c>
      <c r="I155" s="15">
        <f ca="1">INT(Tabela1[[#This Row],[Próxima data de calibração/certificação]]-TODAY())</f>
        <v>296</v>
      </c>
      <c r="J155" s="16" t="s">
        <v>14</v>
      </c>
      <c r="K155" s="16" t="s">
        <v>949</v>
      </c>
      <c r="L155" s="11" t="s">
        <v>853</v>
      </c>
    </row>
    <row r="156" spans="1:12" ht="21.6" x14ac:dyDescent="0.3">
      <c r="A156" s="11">
        <f>ROW(Tabela1[[#This Row],[Toolbox No / Container No]])-1</f>
        <v>155</v>
      </c>
      <c r="B156" s="16" t="s">
        <v>303</v>
      </c>
      <c r="C156" s="3" t="s">
        <v>304</v>
      </c>
      <c r="D156" s="16" t="s">
        <v>305</v>
      </c>
      <c r="E156" s="16" t="s">
        <v>306</v>
      </c>
      <c r="F156" s="4" t="s">
        <v>521</v>
      </c>
      <c r="G156" s="14">
        <v>45757.559027777781</v>
      </c>
      <c r="H156" s="14">
        <f>EDATE(Tabela1[[#This Row],[Data da calibração/certificação ]],12)</f>
        <v>46122</v>
      </c>
      <c r="I156" s="15">
        <f ca="1">INT(Tabela1[[#This Row],[Próxima data de calibração/certificação]]-TODAY())</f>
        <v>193</v>
      </c>
      <c r="J156" s="16" t="s">
        <v>14</v>
      </c>
      <c r="K156" s="16" t="s">
        <v>949</v>
      </c>
      <c r="L156" s="11" t="s">
        <v>854</v>
      </c>
    </row>
    <row r="157" spans="1:12" ht="21.6" x14ac:dyDescent="0.3">
      <c r="A157" s="11">
        <f>ROW(Tabela1[[#This Row],[Toolbox No / Container No]])-1</f>
        <v>156</v>
      </c>
      <c r="B157" s="16" t="s">
        <v>307</v>
      </c>
      <c r="C157" s="3" t="s">
        <v>304</v>
      </c>
      <c r="D157" s="16" t="s">
        <v>305</v>
      </c>
      <c r="E157" s="16" t="s">
        <v>308</v>
      </c>
      <c r="F157" s="4" t="s">
        <v>522</v>
      </c>
      <c r="G157" s="14">
        <v>45757</v>
      </c>
      <c r="H157" s="14">
        <f>EDATE(Tabela1[[#This Row],[Data da calibração/certificação ]],12)</f>
        <v>46122</v>
      </c>
      <c r="I157" s="15">
        <f ca="1">INT(Tabela1[[#This Row],[Próxima data de calibração/certificação]]-TODAY())</f>
        <v>193</v>
      </c>
      <c r="J157" s="16" t="s">
        <v>14</v>
      </c>
      <c r="K157" s="16" t="s">
        <v>949</v>
      </c>
      <c r="L157" s="11" t="s">
        <v>855</v>
      </c>
    </row>
    <row r="158" spans="1:12" ht="30.6" x14ac:dyDescent="0.3">
      <c r="A158" s="11">
        <f>ROW(Tabela1[[#This Row],[Toolbox No / Container No]])-1</f>
        <v>157</v>
      </c>
      <c r="B158" s="11" t="s">
        <v>437</v>
      </c>
      <c r="C158" s="2" t="s">
        <v>304</v>
      </c>
      <c r="D158" s="11" t="s">
        <v>39</v>
      </c>
      <c r="F158" s="5" t="s">
        <v>438</v>
      </c>
      <c r="G158" s="13">
        <v>45741.647916666669</v>
      </c>
      <c r="H158" s="14">
        <f>EDATE(Tabela1[[#This Row],[Data da calibração/certificação ]],12)</f>
        <v>46106</v>
      </c>
      <c r="I158" s="15">
        <f ca="1">INT(Tabela1[[#This Row],[Próxima data de calibração/certificação]]-TODAY())</f>
        <v>177</v>
      </c>
      <c r="J158" s="16" t="s">
        <v>14</v>
      </c>
      <c r="K158" s="16" t="s">
        <v>950</v>
      </c>
      <c r="L158" s="11" t="s">
        <v>856</v>
      </c>
    </row>
    <row r="159" spans="1:12" ht="20.399999999999999" x14ac:dyDescent="0.3">
      <c r="A159" s="11">
        <f>ROW(Tabela1[[#This Row],[Toolbox No / Container No]])-1</f>
        <v>158</v>
      </c>
      <c r="B159" s="16" t="s">
        <v>603</v>
      </c>
      <c r="C159" s="3" t="s">
        <v>304</v>
      </c>
      <c r="D159" s="16" t="s">
        <v>604</v>
      </c>
      <c r="E159" s="16"/>
      <c r="F159" s="6" t="s">
        <v>608</v>
      </c>
      <c r="G159" s="14">
        <v>45674.640277777777</v>
      </c>
      <c r="H159" s="14">
        <f>EDATE(Tabela1[[#This Row],[Data da calibração/certificação ]],12)</f>
        <v>46039</v>
      </c>
      <c r="I159" s="15">
        <f ca="1">INT(Tabela1[[#This Row],[Próxima data de calibração/certificação]]-TODAY())</f>
        <v>110</v>
      </c>
      <c r="J159" s="16" t="s">
        <v>14</v>
      </c>
      <c r="K159" s="16" t="s">
        <v>951</v>
      </c>
      <c r="L159" s="11" t="s">
        <v>857</v>
      </c>
    </row>
    <row r="160" spans="1:12" ht="30.6" x14ac:dyDescent="0.3">
      <c r="A160" s="11">
        <f>ROW(Tabela1[[#This Row],[Toolbox No / Container No]])-1</f>
        <v>159</v>
      </c>
      <c r="B160" s="11" t="s">
        <v>104</v>
      </c>
      <c r="C160" s="2" t="s">
        <v>105</v>
      </c>
      <c r="D160" s="11" t="s">
        <v>106</v>
      </c>
      <c r="F160" s="5" t="s">
        <v>107</v>
      </c>
      <c r="G160" s="13">
        <v>45777</v>
      </c>
      <c r="H160" s="14">
        <f>EDATE(Tabela1[[#This Row],[Data da calibração/certificação ]],12)</f>
        <v>46142</v>
      </c>
      <c r="I160" s="15">
        <f ca="1">INT(Tabela1[[#This Row],[Próxima data de calibração/certificação]]-TODAY())</f>
        <v>213</v>
      </c>
      <c r="J160" s="16" t="s">
        <v>14</v>
      </c>
      <c r="K160" s="16" t="s">
        <v>952</v>
      </c>
      <c r="L160" s="11" t="s">
        <v>858</v>
      </c>
    </row>
    <row r="161" spans="1:12" ht="30.6" x14ac:dyDescent="0.3">
      <c r="A161" s="11">
        <f>ROW(Tabela1[[#This Row],[Toolbox No / Container No]])-1</f>
        <v>160</v>
      </c>
      <c r="B161" s="11" t="s">
        <v>430</v>
      </c>
      <c r="C161" s="2" t="s">
        <v>105</v>
      </c>
      <c r="D161" s="11" t="s">
        <v>431</v>
      </c>
      <c r="E161" s="11" t="s">
        <v>432</v>
      </c>
      <c r="F161" s="5" t="s">
        <v>433</v>
      </c>
      <c r="G161" s="13">
        <v>45777</v>
      </c>
      <c r="H161" s="14">
        <f>EDATE(Tabela1[[#This Row],[Data da calibração/certificação ]],12)</f>
        <v>46142</v>
      </c>
      <c r="I161" s="15">
        <f ca="1">INT(Tabela1[[#This Row],[Próxima data de calibração/certificação]]-TODAY())</f>
        <v>213</v>
      </c>
      <c r="J161" s="16" t="s">
        <v>14</v>
      </c>
      <c r="K161" s="16" t="s">
        <v>952</v>
      </c>
      <c r="L161" s="11" t="s">
        <v>859</v>
      </c>
    </row>
    <row r="162" spans="1:12" ht="30.6" x14ac:dyDescent="0.3">
      <c r="A162" s="11">
        <f>ROW(Tabela1[[#This Row],[Toolbox No / Container No]])-1</f>
        <v>161</v>
      </c>
      <c r="B162" s="11" t="s">
        <v>37</v>
      </c>
      <c r="C162" s="2" t="s">
        <v>38</v>
      </c>
      <c r="D162" s="11" t="s">
        <v>39</v>
      </c>
      <c r="E162" s="11" t="s">
        <v>40</v>
      </c>
      <c r="F162" s="5" t="s">
        <v>533</v>
      </c>
      <c r="G162" s="13">
        <v>45842.580555555556</v>
      </c>
      <c r="H162" s="14">
        <f>EDATE(Tabela1[[#This Row],[Data da calibração/certificação ]],12)</f>
        <v>46207</v>
      </c>
      <c r="I162" s="15">
        <f ca="1">INT(Tabela1[[#This Row],[Próxima data de calibração/certificação]]-TODAY())</f>
        <v>278</v>
      </c>
      <c r="J162" s="16" t="s">
        <v>14</v>
      </c>
      <c r="K162" s="16" t="s">
        <v>950</v>
      </c>
      <c r="L162" s="11" t="s">
        <v>860</v>
      </c>
    </row>
    <row r="163" spans="1:12" ht="20.399999999999999" x14ac:dyDescent="0.3">
      <c r="A163" s="11">
        <f>ROW(Tabela1[[#This Row],[Toolbox No / Container No]])-1</f>
        <v>162</v>
      </c>
      <c r="B163" s="11" t="s">
        <v>41</v>
      </c>
      <c r="C163" s="2" t="s">
        <v>38</v>
      </c>
      <c r="D163" s="11" t="s">
        <v>39</v>
      </c>
      <c r="E163" s="11" t="s">
        <v>42</v>
      </c>
      <c r="F163" s="5" t="s">
        <v>534</v>
      </c>
      <c r="G163" s="13">
        <v>45842.579861111109</v>
      </c>
      <c r="H163" s="14">
        <f>EDATE(Tabela1[[#This Row],[Data da calibração/certificação ]],12)</f>
        <v>46207</v>
      </c>
      <c r="I163" s="15">
        <f ca="1">INT(Tabela1[[#This Row],[Próxima data de calibração/certificação]]-TODAY())</f>
        <v>278</v>
      </c>
      <c r="J163" s="16" t="s">
        <v>14</v>
      </c>
      <c r="K163" s="16" t="s">
        <v>950</v>
      </c>
      <c r="L163" s="11" t="s">
        <v>861</v>
      </c>
    </row>
    <row r="164" spans="1:12" ht="21.6" x14ac:dyDescent="0.3">
      <c r="A164" s="11">
        <f>ROW(Tabela1[[#This Row],[Toolbox No / Container No]])-1</f>
        <v>163</v>
      </c>
      <c r="B164" s="16" t="s">
        <v>581</v>
      </c>
      <c r="C164" s="3" t="s">
        <v>582</v>
      </c>
      <c r="D164" s="16" t="s">
        <v>583</v>
      </c>
      <c r="E164" s="16"/>
      <c r="F164" s="4" t="s">
        <v>593</v>
      </c>
      <c r="G164" s="14">
        <v>45632</v>
      </c>
      <c r="H164" s="14">
        <f>EDATE(Tabela1[[#This Row],[Data da calibração/certificação ]],12)</f>
        <v>45997</v>
      </c>
      <c r="I164" s="15">
        <f ca="1">INT(Tabela1[[#This Row],[Próxima data de calibração/certificação]]-TODAY())</f>
        <v>68</v>
      </c>
      <c r="J164" s="16" t="s">
        <v>14</v>
      </c>
      <c r="K164" s="16" t="s">
        <v>953</v>
      </c>
      <c r="L164" s="11" t="s">
        <v>862</v>
      </c>
    </row>
    <row r="165" spans="1:12" x14ac:dyDescent="0.3">
      <c r="A165" s="11">
        <f>ROW(Tabela1[[#This Row],[Toolbox No / Container No]])-1</f>
        <v>164</v>
      </c>
      <c r="B165" s="16" t="s">
        <v>581</v>
      </c>
      <c r="C165" s="3" t="s">
        <v>582</v>
      </c>
      <c r="D165" s="16" t="s">
        <v>583</v>
      </c>
      <c r="E165" s="16"/>
      <c r="F165" s="6" t="s">
        <v>609</v>
      </c>
      <c r="G165" s="14">
        <v>45632.367361111108</v>
      </c>
      <c r="H165" s="14">
        <f>EDATE(Tabela1[[#This Row],[Data da calibração/certificação ]],12)</f>
        <v>45997</v>
      </c>
      <c r="I165" s="15">
        <f ca="1">INT(Tabela1[[#This Row],[Próxima data de calibração/certificação]]-TODAY())</f>
        <v>68</v>
      </c>
      <c r="J165" s="16" t="s">
        <v>14</v>
      </c>
      <c r="K165" s="16" t="s">
        <v>953</v>
      </c>
      <c r="L165" s="11" t="s">
        <v>863</v>
      </c>
    </row>
    <row r="166" spans="1:12" ht="20.399999999999999" x14ac:dyDescent="0.3">
      <c r="A166" s="11">
        <f>ROW(Tabela1[[#This Row],[Toolbox No / Container No]])-1</f>
        <v>165</v>
      </c>
      <c r="B166" s="11" t="s">
        <v>43</v>
      </c>
      <c r="C166" s="2" t="s">
        <v>44</v>
      </c>
      <c r="D166" s="11" t="s">
        <v>45</v>
      </c>
      <c r="E166" s="11" t="s">
        <v>46</v>
      </c>
      <c r="F166" s="5" t="s">
        <v>47</v>
      </c>
      <c r="G166" s="13">
        <v>45842.427083333336</v>
      </c>
      <c r="H166" s="14">
        <f>EDATE(Tabela1[[#This Row],[Data da calibração/certificação ]],12)</f>
        <v>46207</v>
      </c>
      <c r="I166" s="15">
        <f ca="1">INT(Tabela1[[#This Row],[Próxima data de calibração/certificação]]-TODAY())</f>
        <v>278</v>
      </c>
      <c r="J166" s="16" t="s">
        <v>14</v>
      </c>
      <c r="K166" s="16" t="s">
        <v>954</v>
      </c>
      <c r="L166" s="11" t="s">
        <v>864</v>
      </c>
    </row>
    <row r="167" spans="1:12" ht="20.399999999999999" x14ac:dyDescent="0.3">
      <c r="A167" s="11">
        <f>ROW(Tabela1[[#This Row],[Toolbox No / Container No]])-1</f>
        <v>166</v>
      </c>
      <c r="B167" s="11" t="s">
        <v>48</v>
      </c>
      <c r="C167" s="2" t="s">
        <v>44</v>
      </c>
      <c r="D167" s="11" t="s">
        <v>45</v>
      </c>
      <c r="E167" s="11" t="s">
        <v>49</v>
      </c>
      <c r="F167" s="5" t="s">
        <v>50</v>
      </c>
      <c r="G167" s="13">
        <v>45842.57708333333</v>
      </c>
      <c r="H167" s="14">
        <f>EDATE(Tabela1[[#This Row],[Data da calibração/certificação ]],12)</f>
        <v>46207</v>
      </c>
      <c r="I167" s="15">
        <f ca="1">INT(Tabela1[[#This Row],[Próxima data de calibração/certificação]]-TODAY())</f>
        <v>278</v>
      </c>
      <c r="J167" s="16" t="s">
        <v>14</v>
      </c>
      <c r="K167" s="16" t="s">
        <v>954</v>
      </c>
      <c r="L167" s="11" t="s">
        <v>865</v>
      </c>
    </row>
    <row r="168" spans="1:12" ht="30.6" x14ac:dyDescent="0.3">
      <c r="A168" s="11">
        <f>ROW(Tabela1[[#This Row],[Toolbox No / Container No]])-1</f>
        <v>167</v>
      </c>
      <c r="B168" s="11" t="s">
        <v>446</v>
      </c>
      <c r="C168" s="2" t="s">
        <v>447</v>
      </c>
      <c r="D168" s="11" t="s">
        <v>174</v>
      </c>
      <c r="E168" s="11" t="s">
        <v>448</v>
      </c>
      <c r="F168" s="5" t="s">
        <v>449</v>
      </c>
      <c r="G168" s="13">
        <v>45706.657638888886</v>
      </c>
      <c r="H168" s="14">
        <f>EDATE(Tabela1[[#This Row],[Data da calibração/certificação ]],12)</f>
        <v>46071</v>
      </c>
      <c r="I168" s="15">
        <f ca="1">INT(Tabela1[[#This Row],[Próxima data de calibração/certificação]]-TODAY())</f>
        <v>142</v>
      </c>
      <c r="J168" s="16" t="s">
        <v>14</v>
      </c>
      <c r="K168" s="16" t="s">
        <v>955</v>
      </c>
      <c r="L168" s="11" t="s">
        <v>866</v>
      </c>
    </row>
    <row r="169" spans="1:12" x14ac:dyDescent="0.3">
      <c r="A169" s="11">
        <f>ROW(Tabela1[[#This Row],[Toolbox No / Container No]])-1</f>
        <v>168</v>
      </c>
      <c r="B169" s="11" t="s">
        <v>450</v>
      </c>
      <c r="C169" s="2" t="s">
        <v>451</v>
      </c>
      <c r="D169" s="11" t="s">
        <v>452</v>
      </c>
      <c r="E169" s="11" t="s">
        <v>453</v>
      </c>
      <c r="F169" s="5" t="s">
        <v>454</v>
      </c>
      <c r="G169" s="13">
        <v>45722.338888888888</v>
      </c>
      <c r="H169" s="14">
        <f>EDATE(Tabela1[[#This Row],[Data da calibração/certificação ]],12)</f>
        <v>46087</v>
      </c>
      <c r="I169" s="15">
        <f ca="1">INT(Tabela1[[#This Row],[Próxima data de calibração/certificação]]-TODAY())</f>
        <v>158</v>
      </c>
      <c r="J169" s="16" t="s">
        <v>14</v>
      </c>
      <c r="K169" s="16" t="s">
        <v>956</v>
      </c>
      <c r="L169" s="11" t="s">
        <v>867</v>
      </c>
    </row>
    <row r="170" spans="1:12" ht="20.399999999999999" x14ac:dyDescent="0.3">
      <c r="A170" s="11">
        <f>ROW(Tabela1[[#This Row],[Toolbox No / Container No]])-1</f>
        <v>169</v>
      </c>
      <c r="B170" s="11" t="s">
        <v>33</v>
      </c>
      <c r="C170" s="2" t="s">
        <v>34</v>
      </c>
      <c r="D170" s="11" t="s">
        <v>35</v>
      </c>
      <c r="E170" s="11" t="s">
        <v>36</v>
      </c>
      <c r="F170" s="5" t="s">
        <v>532</v>
      </c>
      <c r="G170" s="13">
        <v>45839.462500000001</v>
      </c>
      <c r="H170" s="14">
        <f>EDATE(Tabela1[[#This Row],[Data da calibração/certificação ]],12)</f>
        <v>46204</v>
      </c>
      <c r="I170" s="15">
        <f ca="1">INT(Tabela1[[#This Row],[Próxima data de calibração/certificação]]-TODAY())</f>
        <v>275</v>
      </c>
      <c r="J170" s="16" t="s">
        <v>14</v>
      </c>
      <c r="K170" s="16" t="s">
        <v>957</v>
      </c>
      <c r="L170" s="11" t="s">
        <v>868</v>
      </c>
    </row>
    <row r="171" spans="1:12" ht="20.399999999999999" x14ac:dyDescent="0.3">
      <c r="A171" s="11">
        <f>ROW(Tabela1[[#This Row],[Toolbox No / Container No]])-1</f>
        <v>170</v>
      </c>
      <c r="B171" s="11" t="s">
        <v>180</v>
      </c>
      <c r="C171" s="2" t="s">
        <v>34</v>
      </c>
      <c r="D171" s="11" t="s">
        <v>181</v>
      </c>
      <c r="E171" s="11" t="s">
        <v>182</v>
      </c>
      <c r="F171" s="5" t="s">
        <v>183</v>
      </c>
      <c r="G171" s="13">
        <v>45839.463194444441</v>
      </c>
      <c r="H171" s="14">
        <f>EDATE(Tabela1[[#This Row],[Data da calibração/certificação ]],12)</f>
        <v>46204</v>
      </c>
      <c r="I171" s="15">
        <f ca="1">INT(Tabela1[[#This Row],[Próxima data de calibração/certificação]]-TODAY())</f>
        <v>275</v>
      </c>
      <c r="J171" s="16" t="s">
        <v>14</v>
      </c>
      <c r="K171" s="16" t="s">
        <v>957</v>
      </c>
      <c r="L171" s="11" t="s">
        <v>869</v>
      </c>
    </row>
    <row r="172" spans="1:12" ht="30.6" x14ac:dyDescent="0.3">
      <c r="A172" s="11">
        <f>ROW(Tabela1[[#This Row],[Toolbox No / Container No]])-1</f>
        <v>171</v>
      </c>
      <c r="B172" s="18" t="s">
        <v>648</v>
      </c>
      <c r="C172" s="8" t="s">
        <v>34</v>
      </c>
      <c r="D172" s="18" t="s">
        <v>35</v>
      </c>
      <c r="E172" s="18" t="s">
        <v>649</v>
      </c>
      <c r="F172" s="9" t="s">
        <v>688</v>
      </c>
      <c r="G172" s="19">
        <v>45890</v>
      </c>
      <c r="H172" s="14">
        <f>EDATE(Tabela1[[#This Row],[Data da calibração/certificação ]],12)</f>
        <v>46255</v>
      </c>
      <c r="I172" s="15">
        <f ca="1">INT(Tabela1[[#This Row],[Próxima data de calibração/certificação]]-TODAY())</f>
        <v>326</v>
      </c>
      <c r="J172" s="16" t="s">
        <v>14</v>
      </c>
      <c r="K172" s="16" t="s">
        <v>957</v>
      </c>
      <c r="L172" s="11" t="s">
        <v>870</v>
      </c>
    </row>
    <row r="173" spans="1:12" ht="30.6" x14ac:dyDescent="0.3">
      <c r="A173" s="11">
        <f>ROW(Tabela1[[#This Row],[Toolbox No / Container No]])-1</f>
        <v>172</v>
      </c>
      <c r="B173" s="18" t="s">
        <v>666</v>
      </c>
      <c r="C173" s="8" t="s">
        <v>34</v>
      </c>
      <c r="D173" s="18" t="s">
        <v>667</v>
      </c>
      <c r="E173" s="18">
        <v>20140115</v>
      </c>
      <c r="F173" s="9" t="s">
        <v>695</v>
      </c>
      <c r="G173" s="19">
        <v>45890</v>
      </c>
      <c r="H173" s="14">
        <f>EDATE(Tabela1[[#This Row],[Data da calibração/certificação ]],12)</f>
        <v>46255</v>
      </c>
      <c r="I173" s="15">
        <f ca="1">INT(Tabela1[[#This Row],[Próxima data de calibração/certificação]]-TODAY())</f>
        <v>326</v>
      </c>
      <c r="J173" s="16" t="s">
        <v>14</v>
      </c>
      <c r="K173" s="16" t="s">
        <v>958</v>
      </c>
      <c r="L173" s="11" t="s">
        <v>871</v>
      </c>
    </row>
    <row r="174" spans="1:12" ht="30.6" x14ac:dyDescent="0.3">
      <c r="A174" s="11">
        <f>ROW(Tabela1[[#This Row],[Toolbox No / Container No]])-1</f>
        <v>173</v>
      </c>
      <c r="B174" s="18" t="s">
        <v>668</v>
      </c>
      <c r="C174" s="8" t="s">
        <v>34</v>
      </c>
      <c r="D174" s="18" t="s">
        <v>667</v>
      </c>
      <c r="E174" s="18" t="s">
        <v>669</v>
      </c>
      <c r="F174" s="9" t="s">
        <v>696</v>
      </c>
      <c r="G174" s="19">
        <v>45890</v>
      </c>
      <c r="H174" s="14">
        <f>EDATE(Tabela1[[#This Row],[Data da calibração/certificação ]],12)</f>
        <v>46255</v>
      </c>
      <c r="I174" s="15">
        <f ca="1">INT(Tabela1[[#This Row],[Próxima data de calibração/certificação]]-TODAY())</f>
        <v>326</v>
      </c>
      <c r="J174" s="16" t="s">
        <v>14</v>
      </c>
      <c r="K174" s="16" t="s">
        <v>958</v>
      </c>
      <c r="L174" s="11" t="s">
        <v>872</v>
      </c>
    </row>
    <row r="175" spans="1:12" ht="20.399999999999999" x14ac:dyDescent="0.3">
      <c r="A175" s="11">
        <f>ROW(Tabela1[[#This Row],[Toolbox No / Container No]])-1</f>
        <v>174</v>
      </c>
      <c r="B175" s="18" t="s">
        <v>33</v>
      </c>
      <c r="C175" s="8" t="s">
        <v>34</v>
      </c>
      <c r="D175" s="18" t="s">
        <v>35</v>
      </c>
      <c r="E175" s="18" t="s">
        <v>36</v>
      </c>
      <c r="F175" s="9" t="s">
        <v>698</v>
      </c>
      <c r="G175" s="19">
        <v>45839.462500000001</v>
      </c>
      <c r="H175" s="14">
        <f>EDATE(Tabela1[[#This Row],[Data da calibração/certificação ]],12)</f>
        <v>46204</v>
      </c>
      <c r="I175" s="15">
        <f ca="1">INT(Tabela1[[#This Row],[Próxima data de calibração/certificação]]-TODAY())</f>
        <v>275</v>
      </c>
      <c r="J175" s="16" t="s">
        <v>14</v>
      </c>
      <c r="K175" s="16" t="s">
        <v>957</v>
      </c>
      <c r="L175" s="11" t="s">
        <v>873</v>
      </c>
    </row>
    <row r="176" spans="1:12" ht="21.6" x14ac:dyDescent="0.3">
      <c r="A176" s="11">
        <f>ROW(Tabela1[[#This Row],[Toolbox No / Container No]])-1</f>
        <v>175</v>
      </c>
      <c r="B176" s="16" t="s">
        <v>610</v>
      </c>
      <c r="C176" s="3" t="s">
        <v>611</v>
      </c>
      <c r="D176" s="16" t="s">
        <v>612</v>
      </c>
      <c r="E176" s="16" t="s">
        <v>613</v>
      </c>
      <c r="F176" s="4" t="s">
        <v>614</v>
      </c>
      <c r="G176" s="14">
        <v>45790.482638888891</v>
      </c>
      <c r="H176" s="14">
        <f>EDATE(Tabela1[[#This Row],[Data da calibração/certificação ]],12)</f>
        <v>46155</v>
      </c>
      <c r="I176" s="15">
        <f ca="1">INT(Tabela1[[#This Row],[Próxima data de calibração/certificação]]-TODAY())</f>
        <v>226</v>
      </c>
      <c r="J176" s="16" t="s">
        <v>14</v>
      </c>
      <c r="K176" s="16" t="s">
        <v>959</v>
      </c>
      <c r="L176" s="11" t="s">
        <v>874</v>
      </c>
    </row>
    <row r="177" spans="1:12" ht="20.399999999999999" x14ac:dyDescent="0.3">
      <c r="A177" s="11">
        <f>ROW(Tabela1[[#This Row],[Toolbox No / Container No]])-1</f>
        <v>176</v>
      </c>
      <c r="B177" s="18" t="s">
        <v>663</v>
      </c>
      <c r="C177" s="8" t="s">
        <v>664</v>
      </c>
      <c r="D177" s="18" t="s">
        <v>665</v>
      </c>
      <c r="E177" s="18"/>
      <c r="F177" s="9" t="s">
        <v>694</v>
      </c>
      <c r="G177" s="19">
        <v>45790.556944444441</v>
      </c>
      <c r="H177" s="14">
        <f>EDATE(Tabela1[[#This Row],[Data da calibração/certificação ]],12)</f>
        <v>46155</v>
      </c>
      <c r="I177" s="15">
        <f ca="1">INT(Tabela1[[#This Row],[Próxima data de calibração/certificação]]-TODAY())</f>
        <v>226</v>
      </c>
      <c r="J177" s="16" t="s">
        <v>14</v>
      </c>
      <c r="K177" s="16" t="s">
        <v>960</v>
      </c>
      <c r="L177" s="11" t="s">
        <v>875</v>
      </c>
    </row>
    <row r="178" spans="1:12" ht="20.399999999999999" x14ac:dyDescent="0.3">
      <c r="A178" s="11">
        <f>ROW(Tabela1[[#This Row],[Toolbox No / Container No]])-1</f>
        <v>177</v>
      </c>
      <c r="B178" s="18" t="s">
        <v>650</v>
      </c>
      <c r="C178" s="8" t="s">
        <v>651</v>
      </c>
      <c r="D178" s="18" t="s">
        <v>181</v>
      </c>
      <c r="E178" s="18" t="s">
        <v>652</v>
      </c>
      <c r="F178" s="9" t="s">
        <v>689</v>
      </c>
      <c r="G178" s="19">
        <v>45777.676388888889</v>
      </c>
      <c r="H178" s="14">
        <f>EDATE(Tabela1[[#This Row],[Data da calibração/certificação ]],12)</f>
        <v>46142</v>
      </c>
      <c r="I178" s="15">
        <f ca="1">INT(Tabela1[[#This Row],[Próxima data de calibração/certificação]]-TODAY())</f>
        <v>213</v>
      </c>
      <c r="J178" s="16" t="s">
        <v>14</v>
      </c>
      <c r="K178" s="16" t="s">
        <v>961</v>
      </c>
      <c r="L178" s="11" t="s">
        <v>876</v>
      </c>
    </row>
    <row r="179" spans="1:12" ht="20.399999999999999" x14ac:dyDescent="0.3">
      <c r="A179" s="11">
        <f>ROW(Tabela1[[#This Row],[Toolbox No / Container No]])-1</f>
        <v>178</v>
      </c>
      <c r="B179" s="11" t="s">
        <v>421</v>
      </c>
      <c r="C179" s="2" t="s">
        <v>422</v>
      </c>
      <c r="D179" s="11" t="s">
        <v>423</v>
      </c>
      <c r="F179" s="5" t="s">
        <v>424</v>
      </c>
      <c r="G179" s="13">
        <v>45792.623611111114</v>
      </c>
      <c r="H179" s="14">
        <f>EDATE(Tabela1[[#This Row],[Data da calibração/certificação ]],12)</f>
        <v>46157</v>
      </c>
      <c r="I179" s="15">
        <f ca="1">INT(Tabela1[[#This Row],[Próxima data de calibração/certificação]]-TODAY())</f>
        <v>228</v>
      </c>
      <c r="J179" s="16" t="s">
        <v>14</v>
      </c>
      <c r="K179" s="16" t="s">
        <v>962</v>
      </c>
      <c r="L179" s="11" t="s">
        <v>877</v>
      </c>
    </row>
    <row r="180" spans="1:12" ht="20.399999999999999" x14ac:dyDescent="0.3">
      <c r="A180" s="11">
        <f>ROW(Tabela1[[#This Row],[Toolbox No / Container No]])-1</f>
        <v>179</v>
      </c>
      <c r="B180" s="18" t="s">
        <v>655</v>
      </c>
      <c r="C180" s="8" t="s">
        <v>656</v>
      </c>
      <c r="D180" s="18" t="s">
        <v>657</v>
      </c>
      <c r="E180" s="18"/>
      <c r="F180" s="9" t="s">
        <v>691</v>
      </c>
      <c r="G180" s="19">
        <v>45790.470833333333</v>
      </c>
      <c r="H180" s="14">
        <f>EDATE(Tabela1[[#This Row],[Data da calibração/certificação ]],12)</f>
        <v>46155</v>
      </c>
      <c r="I180" s="15">
        <f ca="1">INT(Tabela1[[#This Row],[Próxima data de calibração/certificação]]-TODAY())</f>
        <v>226</v>
      </c>
      <c r="J180" s="16" t="s">
        <v>14</v>
      </c>
      <c r="K180" s="16" t="s">
        <v>963</v>
      </c>
      <c r="L180" s="11" t="s">
        <v>878</v>
      </c>
    </row>
    <row r="181" spans="1:12" ht="20.399999999999999" x14ac:dyDescent="0.3">
      <c r="A181" s="11">
        <f>ROW(Tabela1[[#This Row],[Toolbox No / Container No]])-1</f>
        <v>180</v>
      </c>
      <c r="B181" s="11" t="s">
        <v>135</v>
      </c>
      <c r="C181" s="2" t="s">
        <v>136</v>
      </c>
      <c r="D181" s="11" t="s">
        <v>137</v>
      </c>
      <c r="E181" s="11" t="s">
        <v>138</v>
      </c>
      <c r="F181" s="5" t="s">
        <v>139</v>
      </c>
      <c r="G181" s="13">
        <v>45841.572222222225</v>
      </c>
      <c r="H181" s="14">
        <f>EDATE(Tabela1[[#This Row],[Data da calibração/certificação ]],12)</f>
        <v>46206</v>
      </c>
      <c r="I181" s="15">
        <f ca="1">INT(Tabela1[[#This Row],[Próxima data de calibração/certificação]]-TODAY())</f>
        <v>277</v>
      </c>
      <c r="J181" s="16" t="s">
        <v>14</v>
      </c>
      <c r="K181" s="16" t="s">
        <v>964</v>
      </c>
      <c r="L181" s="11" t="s">
        <v>879</v>
      </c>
    </row>
    <row r="182" spans="1:12" ht="20.399999999999999" x14ac:dyDescent="0.3">
      <c r="A182" s="11">
        <f>ROW(Tabela1[[#This Row],[Toolbox No / Container No]])-1</f>
        <v>181</v>
      </c>
      <c r="B182" s="11" t="s">
        <v>159</v>
      </c>
      <c r="C182" s="2" t="s">
        <v>160</v>
      </c>
      <c r="D182" s="11" t="s">
        <v>161</v>
      </c>
      <c r="E182" s="11" t="s">
        <v>162</v>
      </c>
      <c r="F182" s="5" t="s">
        <v>163</v>
      </c>
      <c r="G182" s="13">
        <v>45870.439583333333</v>
      </c>
      <c r="H182" s="14">
        <f>EDATE(Tabela1[[#This Row],[Data da calibração/certificação ]],12)</f>
        <v>46235</v>
      </c>
      <c r="I182" s="15">
        <f ca="1">INT(Tabela1[[#This Row],[Próxima data de calibração/certificação]]-TODAY())</f>
        <v>306</v>
      </c>
      <c r="J182" s="16" t="s">
        <v>14</v>
      </c>
      <c r="K182" s="16" t="s">
        <v>964</v>
      </c>
      <c r="L182" s="11" t="s">
        <v>880</v>
      </c>
    </row>
    <row r="183" spans="1:12" ht="20.399999999999999" x14ac:dyDescent="0.3">
      <c r="A183" s="11">
        <f>ROW(Tabela1[[#This Row],[Toolbox No / Container No]])-1</f>
        <v>182</v>
      </c>
      <c r="B183" s="11" t="s">
        <v>145</v>
      </c>
      <c r="C183" s="2" t="s">
        <v>146</v>
      </c>
      <c r="D183" s="11" t="s">
        <v>147</v>
      </c>
      <c r="E183" s="11" t="s">
        <v>148</v>
      </c>
      <c r="F183" s="5" t="s">
        <v>149</v>
      </c>
      <c r="G183" s="13">
        <v>45841.572222222225</v>
      </c>
      <c r="H183" s="14">
        <f>EDATE(Tabela1[[#This Row],[Data da calibração/certificação ]],12)</f>
        <v>46206</v>
      </c>
      <c r="I183" s="15">
        <f ca="1">INT(Tabela1[[#This Row],[Próxima data de calibração/certificação]]-TODAY())</f>
        <v>277</v>
      </c>
      <c r="J183" s="16" t="s">
        <v>14</v>
      </c>
      <c r="K183" s="16" t="s">
        <v>965</v>
      </c>
      <c r="L183" s="11" t="s">
        <v>881</v>
      </c>
    </row>
    <row r="184" spans="1:12" ht="20.399999999999999" x14ac:dyDescent="0.3">
      <c r="A184" s="11">
        <f>ROW(Tabela1[[#This Row],[Toolbox No / Container No]])-1</f>
        <v>183</v>
      </c>
      <c r="B184" s="16" t="s">
        <v>496</v>
      </c>
      <c r="C184" s="3" t="s">
        <v>497</v>
      </c>
      <c r="D184" s="16" t="s">
        <v>498</v>
      </c>
      <c r="E184" s="16"/>
      <c r="F184" s="6" t="s">
        <v>536</v>
      </c>
      <c r="G184" s="14">
        <v>45904</v>
      </c>
      <c r="H184" s="14">
        <f>EDATE(Tabela1[[#This Row],[Data da calibração/certificação ]],12)</f>
        <v>46269</v>
      </c>
      <c r="I184" s="15">
        <f ca="1">INT(Tabela1[[#This Row],[Próxima data de calibração/certificação]]-TODAY())</f>
        <v>340</v>
      </c>
      <c r="J184" s="16" t="s">
        <v>14</v>
      </c>
      <c r="K184" s="16" t="s">
        <v>966</v>
      </c>
      <c r="L184" s="11" t="s">
        <v>882</v>
      </c>
    </row>
    <row r="185" spans="1:12" ht="20.399999999999999" x14ac:dyDescent="0.3">
      <c r="A185" s="11">
        <f>ROW(Tabela1[[#This Row],[Toolbox No / Container No]])-1</f>
        <v>184</v>
      </c>
      <c r="B185" s="11" t="s">
        <v>77</v>
      </c>
      <c r="C185" s="2" t="s">
        <v>78</v>
      </c>
      <c r="D185" s="11" t="s">
        <v>79</v>
      </c>
      <c r="F185" s="5" t="s">
        <v>80</v>
      </c>
      <c r="G185" s="13">
        <v>45632.37222222222</v>
      </c>
      <c r="H185" s="14">
        <f>EDATE(Tabela1[[#This Row],[Data da calibração/certificação ]],12)</f>
        <v>45997</v>
      </c>
      <c r="I185" s="15">
        <f ca="1">INT(Tabela1[[#This Row],[Próxima data de calibração/certificação]]-TODAY())</f>
        <v>68</v>
      </c>
      <c r="J185" s="16" t="s">
        <v>14</v>
      </c>
      <c r="K185" s="16" t="s">
        <v>967</v>
      </c>
      <c r="L185" s="11" t="s">
        <v>883</v>
      </c>
    </row>
    <row r="186" spans="1:12" ht="20.399999999999999" x14ac:dyDescent="0.3">
      <c r="A186" s="11">
        <f>ROW(Tabela1[[#This Row],[Toolbox No / Container No]])-1</f>
        <v>185</v>
      </c>
      <c r="B186" s="11" t="s">
        <v>364</v>
      </c>
      <c r="C186" s="2" t="s">
        <v>78</v>
      </c>
      <c r="D186" s="11" t="s">
        <v>192</v>
      </c>
      <c r="F186" s="5" t="s">
        <v>365</v>
      </c>
      <c r="G186" s="13">
        <v>45663.431250000001</v>
      </c>
      <c r="H186" s="14">
        <f>EDATE(Tabela1[[#This Row],[Data da calibração/certificação ]],12)</f>
        <v>46028</v>
      </c>
      <c r="I186" s="15">
        <f ca="1">INT(Tabela1[[#This Row],[Próxima data de calibração/certificação]]-TODAY())</f>
        <v>99</v>
      </c>
      <c r="J186" s="16" t="s">
        <v>14</v>
      </c>
      <c r="K186" s="16" t="s">
        <v>967</v>
      </c>
      <c r="L186" s="11" t="s">
        <v>884</v>
      </c>
    </row>
    <row r="187" spans="1:12" ht="20.399999999999999" x14ac:dyDescent="0.3">
      <c r="A187" s="11">
        <f>ROW(Tabela1[[#This Row],[Toolbox No / Container No]])-1</f>
        <v>186</v>
      </c>
      <c r="B187" s="11" t="s">
        <v>366</v>
      </c>
      <c r="C187" s="2" t="s">
        <v>78</v>
      </c>
      <c r="D187" s="11" t="s">
        <v>192</v>
      </c>
      <c r="F187" s="5" t="s">
        <v>367</v>
      </c>
      <c r="G187" s="13">
        <v>45663.423611111109</v>
      </c>
      <c r="H187" s="14">
        <f>EDATE(Tabela1[[#This Row],[Data da calibração/certificação ]],12)</f>
        <v>46028</v>
      </c>
      <c r="I187" s="15">
        <f ca="1">INT(Tabela1[[#This Row],[Próxima data de calibração/certificação]]-TODAY())</f>
        <v>99</v>
      </c>
      <c r="J187" s="16" t="s">
        <v>14</v>
      </c>
      <c r="K187" s="16" t="s">
        <v>967</v>
      </c>
      <c r="L187" s="11" t="s">
        <v>885</v>
      </c>
    </row>
    <row r="188" spans="1:12" ht="20.399999999999999" x14ac:dyDescent="0.3">
      <c r="A188" s="11">
        <f>ROW(Tabela1[[#This Row],[Toolbox No / Container No]])-1</f>
        <v>187</v>
      </c>
      <c r="B188" s="11" t="s">
        <v>368</v>
      </c>
      <c r="C188" s="2" t="s">
        <v>78</v>
      </c>
      <c r="D188" s="11" t="s">
        <v>192</v>
      </c>
      <c r="F188" s="5" t="s">
        <v>369</v>
      </c>
      <c r="G188" s="13">
        <v>45663.42291666667</v>
      </c>
      <c r="H188" s="14">
        <f>EDATE(Tabela1[[#This Row],[Data da calibração/certificação ]],12)</f>
        <v>46028</v>
      </c>
      <c r="I188" s="15">
        <f ca="1">INT(Tabela1[[#This Row],[Próxima data de calibração/certificação]]-TODAY())</f>
        <v>99</v>
      </c>
      <c r="J188" s="16" t="s">
        <v>14</v>
      </c>
      <c r="K188" s="16" t="s">
        <v>967</v>
      </c>
      <c r="L188" s="11" t="s">
        <v>886</v>
      </c>
    </row>
    <row r="189" spans="1:12" ht="20.399999999999999" x14ac:dyDescent="0.3">
      <c r="A189" s="11">
        <f>ROW(Tabela1[[#This Row],[Toolbox No / Container No]])-1</f>
        <v>188</v>
      </c>
      <c r="B189" s="11" t="s">
        <v>370</v>
      </c>
      <c r="C189" s="2" t="s">
        <v>78</v>
      </c>
      <c r="D189" s="11" t="s">
        <v>192</v>
      </c>
      <c r="F189" s="5" t="s">
        <v>371</v>
      </c>
      <c r="G189" s="13">
        <v>45663.350694444445</v>
      </c>
      <c r="H189" s="14">
        <f>EDATE(Tabela1[[#This Row],[Data da calibração/certificação ]],12)</f>
        <v>46028</v>
      </c>
      <c r="I189" s="15">
        <f ca="1">INT(Tabela1[[#This Row],[Próxima data de calibração/certificação]]-TODAY())</f>
        <v>99</v>
      </c>
      <c r="J189" s="16" t="s">
        <v>14</v>
      </c>
      <c r="K189" s="16" t="s">
        <v>967</v>
      </c>
      <c r="L189" s="11" t="s">
        <v>887</v>
      </c>
    </row>
    <row r="190" spans="1:12" ht="20.399999999999999" x14ac:dyDescent="0.3">
      <c r="A190" s="11">
        <f>ROW(Tabela1[[#This Row],[Toolbox No / Container No]])-1</f>
        <v>189</v>
      </c>
      <c r="B190" s="11" t="s">
        <v>372</v>
      </c>
      <c r="C190" s="2" t="s">
        <v>78</v>
      </c>
      <c r="D190" s="11" t="s">
        <v>192</v>
      </c>
      <c r="F190" s="5" t="s">
        <v>373</v>
      </c>
      <c r="G190" s="13">
        <v>45663.62222222222</v>
      </c>
      <c r="H190" s="14">
        <f>EDATE(Tabela1[[#This Row],[Data da calibração/certificação ]],12)</f>
        <v>46028</v>
      </c>
      <c r="I190" s="15">
        <f ca="1">INT(Tabela1[[#This Row],[Próxima data de calibração/certificação]]-TODAY())</f>
        <v>99</v>
      </c>
      <c r="J190" s="16" t="s">
        <v>14</v>
      </c>
      <c r="K190" s="16" t="s">
        <v>967</v>
      </c>
      <c r="L190" s="11" t="s">
        <v>888</v>
      </c>
    </row>
    <row r="191" spans="1:12" ht="20.399999999999999" x14ac:dyDescent="0.3">
      <c r="A191" s="11">
        <f>ROW(Tabela1[[#This Row],[Toolbox No / Container No]])-1</f>
        <v>190</v>
      </c>
      <c r="B191" s="11" t="s">
        <v>443</v>
      </c>
      <c r="C191" s="2" t="s">
        <v>78</v>
      </c>
      <c r="D191" s="11" t="s">
        <v>444</v>
      </c>
      <c r="F191" s="5" t="s">
        <v>445</v>
      </c>
      <c r="G191" s="13">
        <v>45632.658333333333</v>
      </c>
      <c r="H191" s="14">
        <f>EDATE(Tabela1[[#This Row],[Data da calibração/certificação ]],12)</f>
        <v>45997</v>
      </c>
      <c r="I191" s="15">
        <f ca="1">INT(Tabela1[[#This Row],[Próxima data de calibração/certificação]]-TODAY())</f>
        <v>68</v>
      </c>
      <c r="J191" s="16" t="s">
        <v>14</v>
      </c>
      <c r="K191" s="16" t="s">
        <v>967</v>
      </c>
      <c r="L191" s="11" t="s">
        <v>889</v>
      </c>
    </row>
    <row r="192" spans="1:12" ht="20.399999999999999" x14ac:dyDescent="0.3">
      <c r="A192" s="11">
        <f>ROW(Tabela1[[#This Row],[Toolbox No / Container No]])-1</f>
        <v>191</v>
      </c>
      <c r="B192" s="11" t="s">
        <v>247</v>
      </c>
      <c r="C192" s="2" t="s">
        <v>248</v>
      </c>
      <c r="D192" s="11" t="s">
        <v>249</v>
      </c>
      <c r="F192" s="6" t="s">
        <v>250</v>
      </c>
      <c r="G192" s="13">
        <v>45904</v>
      </c>
      <c r="H192" s="14">
        <f>EDATE(Tabela1[[#This Row],[Data da calibração/certificação ]],12)</f>
        <v>46269</v>
      </c>
      <c r="I192" s="15">
        <f ca="1">INT(Tabela1[[#This Row],[Próxima data de calibração/certificação]]-TODAY())</f>
        <v>340</v>
      </c>
      <c r="J192" s="16" t="s">
        <v>14</v>
      </c>
      <c r="K192" s="16" t="s">
        <v>968</v>
      </c>
      <c r="L192" s="11" t="s">
        <v>890</v>
      </c>
    </row>
    <row r="193" spans="1:12" ht="20.399999999999999" x14ac:dyDescent="0.3">
      <c r="A193" s="11">
        <f>ROW(Tabela1[[#This Row],[Toolbox No / Container No]])-1</f>
        <v>192</v>
      </c>
      <c r="B193" s="11" t="s">
        <v>251</v>
      </c>
      <c r="C193" s="2" t="s">
        <v>252</v>
      </c>
      <c r="D193" s="11" t="s">
        <v>253</v>
      </c>
      <c r="F193" s="6" t="s">
        <v>254</v>
      </c>
      <c r="G193" s="13">
        <v>45904</v>
      </c>
      <c r="H193" s="14">
        <f>EDATE(Tabela1[[#This Row],[Data da calibração/certificação ]],12)</f>
        <v>46269</v>
      </c>
      <c r="I193" s="15">
        <f ca="1">INT(Tabela1[[#This Row],[Próxima data de calibração/certificação]]-TODAY())</f>
        <v>340</v>
      </c>
      <c r="J193" s="16" t="s">
        <v>14</v>
      </c>
      <c r="K193" s="16" t="s">
        <v>969</v>
      </c>
      <c r="L193" s="11" t="s">
        <v>891</v>
      </c>
    </row>
    <row r="194" spans="1:12" ht="20.399999999999999" x14ac:dyDescent="0.3">
      <c r="A194" s="11">
        <f>ROW(Tabela1[[#This Row],[Toolbox No / Container No]])-1</f>
        <v>193</v>
      </c>
      <c r="B194" s="11" t="s">
        <v>255</v>
      </c>
      <c r="C194" s="2" t="s">
        <v>252</v>
      </c>
      <c r="D194" s="11" t="s">
        <v>256</v>
      </c>
      <c r="F194" s="6" t="s">
        <v>257</v>
      </c>
      <c r="G194" s="13">
        <v>45903</v>
      </c>
      <c r="H194" s="14">
        <f>EDATE(Tabela1[[#This Row],[Data da calibração/certificação ]],12)</f>
        <v>46268</v>
      </c>
      <c r="I194" s="15">
        <f ca="1">INT(Tabela1[[#This Row],[Próxima data de calibração/certificação]]-TODAY())</f>
        <v>339</v>
      </c>
      <c r="J194" s="16" t="s">
        <v>14</v>
      </c>
      <c r="K194" s="16" t="s">
        <v>970</v>
      </c>
      <c r="L194" s="11" t="s">
        <v>892</v>
      </c>
    </row>
    <row r="195" spans="1:12" ht="20.399999999999999" x14ac:dyDescent="0.3">
      <c r="A195" s="11">
        <f>ROW(Tabela1[[#This Row],[Toolbox No / Container No]])-1</f>
        <v>194</v>
      </c>
      <c r="B195" s="11" t="s">
        <v>258</v>
      </c>
      <c r="C195" s="2" t="s">
        <v>259</v>
      </c>
      <c r="D195" s="11" t="s">
        <v>260</v>
      </c>
      <c r="F195" s="6" t="s">
        <v>261</v>
      </c>
      <c r="G195" s="13">
        <v>45904</v>
      </c>
      <c r="H195" s="14">
        <f>EDATE(Tabela1[[#This Row],[Data da calibração/certificação ]],12)</f>
        <v>46269</v>
      </c>
      <c r="I195" s="15">
        <f ca="1">INT(Tabela1[[#This Row],[Próxima data de calibração/certificação]]-TODAY())</f>
        <v>340</v>
      </c>
      <c r="J195" s="16" t="s">
        <v>14</v>
      </c>
      <c r="K195" s="16" t="s">
        <v>971</v>
      </c>
      <c r="L195" s="11" t="s">
        <v>893</v>
      </c>
    </row>
    <row r="196" spans="1:12" ht="20.399999999999999" x14ac:dyDescent="0.3">
      <c r="A196" s="11">
        <f>ROW(Tabela1[[#This Row],[Toolbox No / Container No]])-1</f>
        <v>195</v>
      </c>
      <c r="B196" s="11" t="s">
        <v>262</v>
      </c>
      <c r="C196" s="2" t="s">
        <v>263</v>
      </c>
      <c r="D196" s="11" t="s">
        <v>264</v>
      </c>
      <c r="F196" s="6" t="s">
        <v>265</v>
      </c>
      <c r="G196" s="13">
        <v>45904</v>
      </c>
      <c r="H196" s="14">
        <f>EDATE(Tabela1[[#This Row],[Data da calibração/certificação ]],12)</f>
        <v>46269</v>
      </c>
      <c r="I196" s="15">
        <f ca="1">INT(Tabela1[[#This Row],[Próxima data de calibração/certificação]]-TODAY())</f>
        <v>340</v>
      </c>
      <c r="J196" s="16" t="s">
        <v>14</v>
      </c>
      <c r="K196" s="16" t="s">
        <v>972</v>
      </c>
      <c r="L196" s="11" t="s">
        <v>894</v>
      </c>
    </row>
    <row r="197" spans="1:12" ht="20.399999999999999" x14ac:dyDescent="0.3">
      <c r="A197" s="11">
        <f>ROW(Tabela1[[#This Row],[Toolbox No / Container No]])-1</f>
        <v>196</v>
      </c>
      <c r="B197" s="11" t="s">
        <v>266</v>
      </c>
      <c r="C197" s="2" t="s">
        <v>263</v>
      </c>
      <c r="D197" s="11" t="s">
        <v>264</v>
      </c>
      <c r="F197" s="6" t="s">
        <v>267</v>
      </c>
      <c r="G197" s="13">
        <v>45904</v>
      </c>
      <c r="H197" s="14">
        <f>EDATE(Tabela1[[#This Row],[Data da calibração/certificação ]],12)</f>
        <v>46269</v>
      </c>
      <c r="I197" s="15">
        <f ca="1">INT(Tabela1[[#This Row],[Próxima data de calibração/certificação]]-TODAY())</f>
        <v>340</v>
      </c>
      <c r="J197" s="16" t="s">
        <v>14</v>
      </c>
      <c r="K197" s="16" t="s">
        <v>972</v>
      </c>
      <c r="L197" s="11" t="s">
        <v>895</v>
      </c>
    </row>
    <row r="198" spans="1:12" ht="20.399999999999999" x14ac:dyDescent="0.3">
      <c r="A198" s="11">
        <f>ROW(Tabela1[[#This Row],[Toolbox No / Container No]])-1</f>
        <v>197</v>
      </c>
      <c r="B198" s="11" t="s">
        <v>268</v>
      </c>
      <c r="C198" s="2" t="s">
        <v>263</v>
      </c>
      <c r="D198" s="11" t="s">
        <v>264</v>
      </c>
      <c r="F198" s="6" t="s">
        <v>269</v>
      </c>
      <c r="G198" s="13">
        <v>45904</v>
      </c>
      <c r="H198" s="14">
        <f>EDATE(Tabela1[[#This Row],[Data da calibração/certificação ]],12)</f>
        <v>46269</v>
      </c>
      <c r="I198" s="15">
        <f ca="1">INT(Tabela1[[#This Row],[Próxima data de calibração/certificação]]-TODAY())</f>
        <v>340</v>
      </c>
      <c r="J198" s="16" t="s">
        <v>14</v>
      </c>
      <c r="K198" s="16" t="s">
        <v>972</v>
      </c>
      <c r="L198" s="11" t="s">
        <v>896</v>
      </c>
    </row>
    <row r="199" spans="1:12" ht="20.399999999999999" x14ac:dyDescent="0.3">
      <c r="A199" s="11">
        <f>ROW(Tabela1[[#This Row],[Toolbox No / Container No]])-1</f>
        <v>198</v>
      </c>
      <c r="B199" s="11" t="s">
        <v>270</v>
      </c>
      <c r="C199" s="2" t="s">
        <v>263</v>
      </c>
      <c r="D199" s="11" t="s">
        <v>271</v>
      </c>
      <c r="F199" s="6" t="s">
        <v>272</v>
      </c>
      <c r="G199" s="13">
        <v>45904</v>
      </c>
      <c r="H199" s="14">
        <f>EDATE(Tabela1[[#This Row],[Data da calibração/certificação ]],12)</f>
        <v>46269</v>
      </c>
      <c r="I199" s="15">
        <f ca="1">INT(Tabela1[[#This Row],[Próxima data de calibração/certificação]]-TODAY())</f>
        <v>340</v>
      </c>
      <c r="J199" s="16" t="s">
        <v>14</v>
      </c>
      <c r="K199" s="16" t="s">
        <v>973</v>
      </c>
      <c r="L199" s="11" t="s">
        <v>897</v>
      </c>
    </row>
    <row r="200" spans="1:12" ht="20.399999999999999" x14ac:dyDescent="0.3">
      <c r="A200" s="11">
        <f>ROW(Tabela1[[#This Row],[Toolbox No / Container No]])-1</f>
        <v>199</v>
      </c>
      <c r="B200" s="11" t="s">
        <v>273</v>
      </c>
      <c r="C200" s="2" t="s">
        <v>263</v>
      </c>
      <c r="D200" s="11" t="s">
        <v>264</v>
      </c>
      <c r="F200" s="6" t="s">
        <v>274</v>
      </c>
      <c r="G200" s="13">
        <v>45903</v>
      </c>
      <c r="H200" s="14">
        <f>EDATE(Tabela1[[#This Row],[Data da calibração/certificação ]],12)</f>
        <v>46268</v>
      </c>
      <c r="I200" s="15">
        <f ca="1">INT(Tabela1[[#This Row],[Próxima data de calibração/certificação]]-TODAY())</f>
        <v>339</v>
      </c>
      <c r="J200" s="16" t="s">
        <v>14</v>
      </c>
      <c r="K200" s="16" t="s">
        <v>972</v>
      </c>
      <c r="L200" s="11" t="s">
        <v>898</v>
      </c>
    </row>
    <row r="201" spans="1:12" ht="20.399999999999999" x14ac:dyDescent="0.3">
      <c r="A201" s="11">
        <f>ROW(Tabela1[[#This Row],[Toolbox No / Container No]])-1</f>
        <v>200</v>
      </c>
      <c r="B201" s="11" t="s">
        <v>275</v>
      </c>
      <c r="C201" s="2" t="s">
        <v>263</v>
      </c>
      <c r="D201" s="11" t="s">
        <v>199</v>
      </c>
      <c r="F201" s="6" t="s">
        <v>276</v>
      </c>
      <c r="G201" s="13">
        <v>45872</v>
      </c>
      <c r="H201" s="14">
        <f>EDATE(Tabela1[[#This Row],[Data da calibração/certificação ]],12)</f>
        <v>46237</v>
      </c>
      <c r="I201" s="15">
        <f ca="1">INT(Tabela1[[#This Row],[Próxima data de calibração/certificação]]-TODAY())</f>
        <v>308</v>
      </c>
      <c r="J201" s="16" t="s">
        <v>14</v>
      </c>
      <c r="K201" s="16" t="s">
        <v>974</v>
      </c>
      <c r="L201" s="11" t="s">
        <v>899</v>
      </c>
    </row>
    <row r="202" spans="1:12" ht="20.399999999999999" x14ac:dyDescent="0.3">
      <c r="A202" s="11">
        <f>ROW(Tabela1[[#This Row],[Toolbox No / Container No]])-1</f>
        <v>201</v>
      </c>
      <c r="B202" s="11" t="s">
        <v>10</v>
      </c>
      <c r="C202" s="2" t="s">
        <v>11</v>
      </c>
      <c r="D202" s="11" t="s">
        <v>12</v>
      </c>
      <c r="E202" s="11" t="s">
        <v>13</v>
      </c>
      <c r="F202" s="5" t="s">
        <v>525</v>
      </c>
      <c r="G202" s="13">
        <v>45870</v>
      </c>
      <c r="H202" s="14">
        <f>EDATE(Tabela1[[#This Row],[Data da calibração/certificação ]],12)</f>
        <v>46235</v>
      </c>
      <c r="I202" s="15">
        <f ca="1">INT(Tabela1[[#This Row],[Próxima data de calibração/certificação]]-TODAY())</f>
        <v>306</v>
      </c>
      <c r="J202" s="16" t="s">
        <v>14</v>
      </c>
      <c r="K202" s="16" t="s">
        <v>975</v>
      </c>
      <c r="L202" s="11" t="s">
        <v>900</v>
      </c>
    </row>
    <row r="203" spans="1:12" ht="20.399999999999999" x14ac:dyDescent="0.3">
      <c r="A203" s="11">
        <f>ROW(Tabela1[[#This Row],[Toolbox No / Container No]])-1</f>
        <v>202</v>
      </c>
      <c r="B203" s="11" t="s">
        <v>15</v>
      </c>
      <c r="C203" s="2" t="s">
        <v>16</v>
      </c>
      <c r="D203" s="11" t="s">
        <v>17</v>
      </c>
      <c r="E203" s="11" t="s">
        <v>18</v>
      </c>
      <c r="F203" s="5" t="s">
        <v>526</v>
      </c>
      <c r="G203" s="13">
        <v>45870</v>
      </c>
      <c r="H203" s="14">
        <f>EDATE(Tabela1[[#This Row],[Data da calibração/certificação ]],12)</f>
        <v>46235</v>
      </c>
      <c r="I203" s="15">
        <f ca="1">INT(Tabela1[[#This Row],[Próxima data de calibração/certificação]]-TODAY())</f>
        <v>306</v>
      </c>
      <c r="J203" s="16" t="s">
        <v>14</v>
      </c>
      <c r="K203" s="16" t="s">
        <v>976</v>
      </c>
      <c r="L203" s="11" t="s">
        <v>901</v>
      </c>
    </row>
    <row r="204" spans="1:12" ht="20.399999999999999" x14ac:dyDescent="0.3">
      <c r="A204" s="11">
        <f>ROW(Tabela1[[#This Row],[Toolbox No / Container No]])-1</f>
        <v>203</v>
      </c>
      <c r="B204" s="18" t="s">
        <v>903</v>
      </c>
      <c r="C204" s="8" t="s">
        <v>109</v>
      </c>
      <c r="D204" s="18" t="s">
        <v>109</v>
      </c>
      <c r="E204" s="18" t="s">
        <v>21</v>
      </c>
      <c r="F204" s="9" t="s">
        <v>904</v>
      </c>
      <c r="G204" s="19">
        <v>45870</v>
      </c>
      <c r="H204" s="14">
        <f>EDATE(Tabela1[[#This Row],[Data da calibração/certificação ]],12)</f>
        <v>46235</v>
      </c>
      <c r="I204" s="15">
        <f ca="1">INT(Tabela1[[#This Row],[Próxima data de calibração/certificação]]-TODAY())</f>
        <v>306</v>
      </c>
      <c r="J204" s="16" t="s">
        <v>14</v>
      </c>
      <c r="K204" s="16" t="s">
        <v>945</v>
      </c>
      <c r="L204" s="20" t="s">
        <v>905</v>
      </c>
    </row>
  </sheetData>
  <hyperlinks>
    <hyperlink ref="F16" r:id="rId1" display="HBS 003807 - 06649_25 - ANDRITZ - MCXL-COM PADRÃO" xr:uid="{DD632381-0AFF-463A-94CE-DD20B638B0D8}"/>
    <hyperlink ref="F17" r:id="rId2" xr:uid="{439A8A15-0C4F-4A09-B291-EC264380531E}"/>
    <hyperlink ref="F12" r:id="rId3" xr:uid="{79FDB333-1C25-421B-BD68-31352B836E79}"/>
    <hyperlink ref="F62" r:id="rId4" xr:uid="{534389F5-D75D-4751-9BCA-E7C73135E7B1}"/>
    <hyperlink ref="F156" r:id="rId5" xr:uid="{70A8F8FD-8327-4AC1-A128-CD31AAE42464}"/>
    <hyperlink ref="F157" r:id="rId6" xr:uid="{11322972-A23B-4477-B277-B3779CCD7AB6}"/>
    <hyperlink ref="F135" r:id="rId7" xr:uid="{63DE628E-61D9-41CD-B342-DCDB123D734F}"/>
    <hyperlink ref="F134" r:id="rId8" xr:uid="{9C10ACD1-F320-48CE-852D-346FD7FF40BA}"/>
    <hyperlink ref="F19" r:id="rId9" xr:uid="{6046CB16-00C5-4484-92B0-B78EA51C042D}"/>
    <hyperlink ref="F202" r:id="rId10" display="https://drive.google.com/file/d/1MxEPtMF74TgXlulVdxCILtYQW0KE_PDB/view?usp=drive_link" xr:uid="{5C8AE4BB-1ABE-46F1-9637-AAAE62634D6A}"/>
    <hyperlink ref="F203" r:id="rId11" display="https://drive.google.com/file/d/1uJ540-I6v7_Y9GrykHiQD9D5rnx8-4Gs/view?usp=drive_link" xr:uid="{00C2B0EC-3850-4EC9-A77E-09FC04D95EC7}"/>
    <hyperlink ref="F116" r:id="rId12" display="https://drive.google.com/file/d/186q7RsNonrWVc-hs-ug8THyPAkJY4Nd-/view?usp=drive_link" xr:uid="{20B54D0C-3BE7-4590-A088-327406C60FCE}"/>
    <hyperlink ref="F115" r:id="rId13" display="https://drive.google.com/file/d/1kjqnAZfVfUZTVfpBilkiDcqDgS2EYdPP/view?usp=drive_link" xr:uid="{BCA21A1B-AD53-4DCB-B0C9-7C6DB0DDFF01}"/>
    <hyperlink ref="F7" r:id="rId14" display="https://drive.google.com/file/d/1H9qjFEM1S5Q-yBO-Cp3jHPOCYKZU7zaD/view?usp=drive_link" xr:uid="{9D9D0CE3-98F1-45CD-8B10-F085C8F3F464}"/>
    <hyperlink ref="F8" r:id="rId15" display="https://drive.google.com/file/d/1VGaoJHaN7ykox_fxIcBJSJWmeTh7vBOH/view?usp=drive_link" xr:uid="{1EF5E6F9-EB96-45A9-A9D2-9D709E720AB4}"/>
    <hyperlink ref="F154" r:id="rId16" display="https://drive.google.com/file/d/1IKxlQkrRqG2ol-64t5hSL4tKmvteVHvG/view?usp=drive_link" xr:uid="{C85CD433-52EF-4746-936E-C57CCD10B790}"/>
    <hyperlink ref="F155" r:id="rId17" display="https://drive.google.com/file/d/1D1lNKXv-ZtOugRKcXFbFXjDdX1F-bliX/view?usp=drive_link" xr:uid="{43AE462B-AB7B-40C8-A281-DCC634B8EF74}"/>
    <hyperlink ref="F170" r:id="rId18" display="https://drive.google.com/file/d/1ZgdAfVEylXUSB2HtZZHXA6lBusFtFETx/view?usp=drive_link" xr:uid="{E0C2F2E6-0617-4B2B-A5B9-723F03374519}"/>
    <hyperlink ref="F162" r:id="rId19" display="https://drive.google.com/file/d/1Grp8hNJiCG-hFfGj9go2_pL2ng91KN7d/view?usp=drive_link" xr:uid="{CB113184-259F-4C1A-BC19-83703ED90C14}"/>
    <hyperlink ref="F163" r:id="rId20" display="https://drive.google.com/file/d/1nuoSrmLTSeyrb1LGQgqyu2FOcY32CJJO/view?usp=drive_link" xr:uid="{E41F82BC-D257-40DA-A45C-DDCC9231CF93}"/>
    <hyperlink ref="F133" r:id="rId21" xr:uid="{13C49760-0DE1-4877-AC9F-B153B2D0200D}"/>
    <hyperlink ref="F166" r:id="rId22" xr:uid="{C5F7015A-E1A5-40F3-A50F-910D12424CBC}"/>
    <hyperlink ref="F167" r:id="rId23" xr:uid="{3FAD128C-11E9-43CC-B207-3385065BC887}"/>
    <hyperlink ref="F120" r:id="rId24" xr:uid="{C80ACB22-70B8-42E7-B839-A8ECD589A9AD}"/>
    <hyperlink ref="F121" r:id="rId25" xr:uid="{B219417B-AC88-4E53-9BF2-8C886A5F276D}"/>
    <hyperlink ref="F122" r:id="rId26" xr:uid="{BE4FC2E2-013A-468D-B137-04830343B316}"/>
    <hyperlink ref="F119" r:id="rId27" display="https://drive.google.com/file/d/15krf4Jhc_zN8HsGHbSkuFUMTUslTW21F/view?usp=drive_link" xr:uid="{7B414772-009E-4F19-A30B-DBD76C430005}"/>
    <hyperlink ref="F9" r:id="rId28" xr:uid="{CD7FA0F3-02AF-4037-983E-0D733A8273D7}"/>
    <hyperlink ref="F4" r:id="rId29" xr:uid="{215731E2-0A28-413E-8926-9750A8967360}"/>
    <hyperlink ref="F185" r:id="rId30" xr:uid="{8FAD8EF5-726A-484C-8A8C-DFAC99C6F53A}"/>
    <hyperlink ref="F14" r:id="rId31" xr:uid="{51D50775-0D81-4566-8BB1-79A8953D4138}"/>
    <hyperlink ref="F27" r:id="rId32" xr:uid="{C3B99A1C-3510-4E53-9F07-8C6D8718D7D2}"/>
    <hyperlink ref="F60" r:id="rId33" xr:uid="{5EE29266-8211-41F9-A58B-9F08AE03CE01}"/>
    <hyperlink ref="F49" r:id="rId34" xr:uid="{3B5A2FAF-6E7B-4F2E-BD8A-46B0D9D7BA4F}"/>
    <hyperlink ref="F94" r:id="rId35" xr:uid="{196FE535-ED7A-4747-847A-86E1552F64F2}"/>
    <hyperlink ref="F160" r:id="rId36" xr:uid="{3B6999C0-B993-4689-85EC-79DFBB18F16D}"/>
    <hyperlink ref="F137" r:id="rId37" xr:uid="{B614D968-FEA4-4A35-9C38-CA75D8FCA12A}"/>
    <hyperlink ref="F138" r:id="rId38" xr:uid="{CC2D4C5A-6816-43BB-943F-506B543CFEA2}"/>
    <hyperlink ref="F140" r:id="rId39" xr:uid="{D17E3A87-F4BF-4388-BBB6-96FB5F956751}"/>
    <hyperlink ref="F142" r:id="rId40" xr:uid="{3620B27E-8815-48E8-AB7C-54315883AB71}"/>
    <hyperlink ref="F143" r:id="rId41" xr:uid="{D4B15D5A-A1A5-41FB-84F1-13A0ADA8EEB9}"/>
    <hyperlink ref="F141" r:id="rId42" xr:uid="{CFFD9C9E-B35B-4FB7-942D-07C55ACEC1E0}"/>
    <hyperlink ref="F139" r:id="rId43" xr:uid="{202E02BF-5892-469C-812E-FA209CB330B7}"/>
    <hyperlink ref="F144" r:id="rId44" xr:uid="{C5120E08-7316-4BD9-AC1B-C9DAEE1CF8FA}"/>
    <hyperlink ref="F181" r:id="rId45" xr:uid="{BFB0F729-CCAA-491E-81A7-9BAB3857F4D6}"/>
    <hyperlink ref="F18" r:id="rId46" xr:uid="{6FD9CEFB-6365-4372-8267-7EE6B1D49488}"/>
    <hyperlink ref="F183" r:id="rId47" xr:uid="{8532554B-7C8D-4B40-9242-32975057C641}"/>
    <hyperlink ref="F44" r:id="rId48" xr:uid="{B9B77141-2FB3-4B4B-9DFB-DA4F3BBC9676}"/>
    <hyperlink ref="F182" r:id="rId49" xr:uid="{2DAA5C8A-4E92-4959-A971-CF8EAB2C5830}"/>
    <hyperlink ref="F65" r:id="rId50" xr:uid="{DF08E3C9-2525-42CA-A41F-F9ADD3333E34}"/>
    <hyperlink ref="F90" r:id="rId51" xr:uid="{B84096EB-AA74-4A84-A8CD-BEEA57E49554}"/>
    <hyperlink ref="F145" r:id="rId52" xr:uid="{82B6812D-3E3F-455C-9E30-06EF63375ADE}"/>
    <hyperlink ref="F6" r:id="rId53" xr:uid="{B4034C49-74B6-4043-84E3-4188C5F5A799}"/>
    <hyperlink ref="F123" r:id="rId54" xr:uid="{693E6610-B36D-4432-8593-E92EDE611866}"/>
    <hyperlink ref="F171" r:id="rId55" xr:uid="{1CC6BA39-FC94-461F-BD83-A5F9B43577D2}"/>
    <hyperlink ref="F40" r:id="rId56" xr:uid="{C4D60DD7-421C-48DB-A245-9198A9C09CFB}"/>
    <hyperlink ref="F41" r:id="rId57" xr:uid="{429E0AAF-F1F8-4540-A663-CE445E285955}"/>
    <hyperlink ref="F42" r:id="rId58" xr:uid="{495467EF-B995-4B02-B393-66B3C1BA1573}"/>
    <hyperlink ref="F95" r:id="rId59" xr:uid="{23143CA4-A31B-425C-85B9-1910CFBD7A12}"/>
    <hyperlink ref="F96" r:id="rId60" xr:uid="{462EEA84-63FC-4557-AB4E-A907F959282C}"/>
    <hyperlink ref="F97" r:id="rId61" xr:uid="{78B6EF5D-9436-4AEA-9B54-9B9E5C051BD7}"/>
    <hyperlink ref="F98" r:id="rId62" xr:uid="{41E51556-2DE2-47D1-BEBD-40A4C8B5A91F}"/>
    <hyperlink ref="F99" r:id="rId63" xr:uid="{322DDC79-8DA1-497E-9012-7CFB725D431D}"/>
    <hyperlink ref="F100" r:id="rId64" xr:uid="{CB8A1B4B-8636-4DB0-813F-C17E070B9724}"/>
    <hyperlink ref="F101" r:id="rId65" xr:uid="{4503A3F2-E6D8-486B-BC9D-30BEBA07E073}"/>
    <hyperlink ref="F102" r:id="rId66" xr:uid="{22C91024-99D7-4DA4-8F87-DC3B58E2CFBD}"/>
    <hyperlink ref="F103" r:id="rId67" xr:uid="{4D94C0FE-F7ED-48D4-A8C7-B433E9E53F78}"/>
    <hyperlink ref="F104" r:id="rId68" xr:uid="{1AC289AD-0485-4C71-A13D-277964C00C85}"/>
    <hyperlink ref="F105" r:id="rId69" xr:uid="{851F5A55-CE9C-4869-8FAB-CCBB0C25A82D}"/>
    <hyperlink ref="F106" r:id="rId70" xr:uid="{DA8773FF-B5EC-43C1-8AAB-2E994FE3C689}"/>
    <hyperlink ref="F107" r:id="rId71" xr:uid="{C301CEB5-72C8-4421-8E98-51EBB5AB7E4F}"/>
    <hyperlink ref="F108" r:id="rId72" xr:uid="{C608169D-1A3B-4D54-9191-2E4EE665DC92}"/>
    <hyperlink ref="F109" r:id="rId73" xr:uid="{4C0D22AC-23EC-4620-AD4D-0312EB0D2ACA}"/>
    <hyperlink ref="F110" r:id="rId74" xr:uid="{1603FFA2-77FF-42CC-A45E-AAC63C43747D}"/>
    <hyperlink ref="F111" r:id="rId75" xr:uid="{322B5D17-B42E-46AC-88C6-589440CE950D}"/>
    <hyperlink ref="F112" r:id="rId76" xr:uid="{257E4206-46E1-42F3-914E-CB36C1DC2AA4}"/>
    <hyperlink ref="F113" r:id="rId77" xr:uid="{A83E7E9F-D42B-41EE-B76A-10B50D00DF03}"/>
    <hyperlink ref="F114" r:id="rId78" xr:uid="{F91DB18B-5D92-4163-B4D6-4A3825C88A98}"/>
    <hyperlink ref="F192" r:id="rId79" xr:uid="{DC2F0633-CAD7-4F4F-8816-1329A9DEEA1B}"/>
    <hyperlink ref="F193" r:id="rId80" xr:uid="{4255E936-3CC5-498B-82C5-DB31D857216C}"/>
    <hyperlink ref="F194" r:id="rId81" xr:uid="{60DA2F16-0D55-4546-B574-26B7AD5DE6BB}"/>
    <hyperlink ref="F195" r:id="rId82" xr:uid="{2458E5D6-986B-4ED5-B7C6-02F9E7FFD13C}"/>
    <hyperlink ref="F196" r:id="rId83" xr:uid="{1AFE2071-6FBC-43F5-9A77-F60EE938D85D}"/>
    <hyperlink ref="F197" r:id="rId84" xr:uid="{9F609429-8E5F-4043-AAD1-F0430F69DBF9}"/>
    <hyperlink ref="F198" r:id="rId85" xr:uid="{B5D7BC4B-7615-4071-AF59-F1C096CA2E34}"/>
    <hyperlink ref="F199" r:id="rId86" xr:uid="{264415A5-10B3-48DC-8FB7-45585A3A4824}"/>
    <hyperlink ref="F200" r:id="rId87" xr:uid="{D62BC6D7-888D-498A-AFAE-6184DDAA9E19}"/>
    <hyperlink ref="F201" r:id="rId88" xr:uid="{B23445B2-5BF0-4E3F-B95B-425141EB8FBD}"/>
    <hyperlink ref="F117" r:id="rId89" xr:uid="{444BF4F2-5230-481F-B317-EC28DBD273A6}"/>
    <hyperlink ref="F118" r:id="rId90" xr:uid="{31EDEBDF-CC2F-4F55-AA56-7786BBCF6471}"/>
    <hyperlink ref="F11" r:id="rId91" xr:uid="{5D3D9FFE-5192-4228-8D2C-1A188E948B52}"/>
    <hyperlink ref="F5" r:id="rId92" xr:uid="{450168EF-44CF-4C5E-8BC1-5D97BE19154A}"/>
    <hyperlink ref="F186" r:id="rId93" xr:uid="{62809AB5-B1BA-4448-B92B-81C057CF2ED0}"/>
    <hyperlink ref="F187" r:id="rId94" xr:uid="{77B2D1AD-58C1-41CB-8AD3-92599BD7A64A}"/>
    <hyperlink ref="F188" r:id="rId95" xr:uid="{A4119BFE-7713-4211-826B-B8E53087F3CA}"/>
    <hyperlink ref="F189" r:id="rId96" xr:uid="{6C0E8832-9BA7-4094-B812-E8989091A6A8}"/>
    <hyperlink ref="F190" r:id="rId97" xr:uid="{71DF3F22-8C1F-4DDE-A442-E0DF1FC02DF5}"/>
    <hyperlink ref="F152" r:id="rId98" xr:uid="{7E28BF0E-D0B3-4698-B223-51F01EC327FC}"/>
    <hyperlink ref="F3" r:id="rId99" xr:uid="{4BA837E7-25AF-4739-B4DE-D73016AED874}"/>
    <hyperlink ref="F2" r:id="rId100" xr:uid="{41E067A2-24B7-4447-8349-311A6E70CF14}"/>
    <hyperlink ref="F83" r:id="rId101" xr:uid="{D02FEB8A-D1AC-4B63-BF44-5F820477C3AD}"/>
    <hyperlink ref="F91" r:id="rId102" xr:uid="{B5643738-2901-4B5F-A761-5E9C84F0BBA0}"/>
    <hyperlink ref="F92" r:id="rId103" xr:uid="{BDB47812-44F9-4996-AFB5-98CF30CEDBD0}"/>
    <hyperlink ref="F68" r:id="rId104" xr:uid="{E62AF96D-87E8-43FA-A5A4-4C84BBB63860}"/>
    <hyperlink ref="F127" r:id="rId105" xr:uid="{4C39B5E2-D3C4-44A7-AE99-CA468FCC4B78}"/>
    <hyperlink ref="F85" r:id="rId106" xr:uid="{1CE195C5-1B19-4D59-86C3-41DBA21ED674}"/>
    <hyperlink ref="F84" r:id="rId107" xr:uid="{8C24CB9C-1C19-4645-8866-AD056FD5E7B4}"/>
    <hyperlink ref="F87" r:id="rId108" xr:uid="{D41DA7AF-BBE1-48AD-A8F4-35341DAECB66}"/>
    <hyperlink ref="F88" r:id="rId109" xr:uid="{8F65473B-2514-4100-8D01-0BE3A4701210}"/>
    <hyperlink ref="F89" r:id="rId110" xr:uid="{3E4482A5-31D7-409F-82F4-531E3CB5ECD5}"/>
    <hyperlink ref="F128" r:id="rId111" xr:uid="{43F2EFD8-93AE-49F8-BA33-591AC7F51EA4}"/>
    <hyperlink ref="F179" r:id="rId112" xr:uid="{0265081A-DE17-41AD-BFBA-7F753B6A6874}"/>
    <hyperlink ref="F10" r:id="rId113" xr:uid="{3E07D6ED-DA8E-47D9-BAB8-CCA1D3ECC1E2}"/>
    <hyperlink ref="F20" r:id="rId114" xr:uid="{342A290B-16FF-4033-9785-E70E4DE868D0}"/>
    <hyperlink ref="F161" r:id="rId115" xr:uid="{169094DA-4AA7-4F60-AFBC-F14934730E43}"/>
    <hyperlink ref="F93" r:id="rId116" xr:uid="{F9F546A3-E217-4376-B76C-28DE721E1D28}"/>
    <hyperlink ref="F86" r:id="rId117" xr:uid="{5A5035D3-A238-47C2-9A9C-37C5372E87F4}"/>
    <hyperlink ref="F191" r:id="rId118" xr:uid="{3337C75C-79DA-4AD3-B8C2-14CBFCD1824C}"/>
    <hyperlink ref="F158" r:id="rId119" xr:uid="{6A175E5D-D163-4738-9ACE-0EC6235F75D4}"/>
    <hyperlink ref="F54" r:id="rId120" display="https://drive.google.com/file/d/1yZqNqeZ3i-JQ_lqKvpBf0gl21cfg581k/view?usp=drive_link" xr:uid="{183396F5-E00B-41A1-9B5A-0D833EB34059}"/>
    <hyperlink ref="F55" r:id="rId121" display="https://drive.google.com/file/d/15F66JvUZRMDPxEQ3epixGe7wvObocTu4/view?usp=drive_link" xr:uid="{2D4FCD7F-1FA4-4BB0-B69B-C2F058A323DD}"/>
    <hyperlink ref="F53" r:id="rId122" display="https://drive.google.com/file/d/13Sfr_lxUgCBEdl01zsLvLmDr2AvMQW2l/view?usp=drive_link" xr:uid="{AC600B1D-5FF3-473A-9E9C-16B145636CC5}"/>
    <hyperlink ref="F56" r:id="rId123" display="https://drive.google.com/file/d/1vVjdeDbQ05PRp_1K9n2OH2-8tuKi7_jV/view?usp=drive_link" xr:uid="{9138C8AC-DA61-4E9D-9193-D164074B48B2}"/>
    <hyperlink ref="F57" r:id="rId124" display="https://drive.google.com/file/d/1XO5MKH5o8pOddnakIdIBWMWHVToKgWei/view?usp=drive_link" xr:uid="{4137CDC2-F5DA-42E2-98D7-3D4B1B93C214}"/>
    <hyperlink ref="F58" r:id="rId125" display="https://drive.google.com/file/d/1iyFFuDj1HX_X3iNZlrgp4CSM6UKekB-8/view?usp=drive_link" xr:uid="{2CA6E366-AE55-42A2-AB2F-89ECAB160843}"/>
    <hyperlink ref="F51" r:id="rId126" display="https://drive.google.com/file/d/1GKlaOiv76EWjSkD7_NPd98YJOqwlNoQc/view?usp=drive_link" xr:uid="{84C35B96-CEAF-4D40-AEA8-B27203D4BC6A}"/>
    <hyperlink ref="F50" r:id="rId127" display="https://drive.google.com/file/d/1rlch3w67HZ6EnhwPrNWrfP5srzkX8UVu/view?usp=drive_link" xr:uid="{1DD07AAF-6AE5-499D-87BE-15D1399D6B76}"/>
    <hyperlink ref="F59" r:id="rId128" display="https://drive.google.com/file/d/1vCdXm3uLjFlahIPbDJmERfW3BLk-tLPH/view?usp=drive_link" xr:uid="{FAA1066E-83C1-46A5-AA67-5CECB4D9B239}"/>
    <hyperlink ref="F47" r:id="rId129" display="https://drive.google.com/file/d/1ecLEty3Ssb5rlv54mYBGsam7RVhvGu3f/view?usp=drive_link" xr:uid="{A7B27390-3579-4C3E-A99B-6EEDB5428917}"/>
    <hyperlink ref="F30" r:id="rId130" display="https://drive.google.com/file/d/1zKt9vm6H_dcxFMg-z-vGoCDSSMjB9kFk/view?usp=drive_link" xr:uid="{0B2CF763-733A-4945-99BF-6A8CC49EBC4F}"/>
    <hyperlink ref="F168" r:id="rId131" display="https://drive.google.com/file/d/10KJTAQjK7ro05HS2EaKp9usB0zyErf9O/view?usp=drive_link" xr:uid="{B29CC95E-FA4A-473D-BFA9-DCB2E237BEDC}"/>
    <hyperlink ref="F169" r:id="rId132" display="https://drive.google.com/file/d/1ERiOB1VZSWyybGMOpBtOu33okORIg9kv/view?usp=drive_link" xr:uid="{DEF1A530-91AB-4F76-9F5A-9486BFA57376}"/>
    <hyperlink ref="F22" r:id="rId133" display="https://drive.google.com/file/d/1Tc8pF8FD7VJ4mKn_ssfy8oPVsR3Mg9qj/view?usp=drive_link" xr:uid="{A70DD752-E5CE-49B9-913E-15840AA3730D}"/>
    <hyperlink ref="F23" r:id="rId134" display="https://drive.google.com/file/d/1AGal7Pes4tSgiQZqkbaSDaa6flXD2FDl/view?usp=drive_link" xr:uid="{BD42B927-D49D-4EAB-9F7D-83C572AA6445}"/>
    <hyperlink ref="F31" r:id="rId135" display="https://drive.google.com/file/d/1wsQNWPzifij6e42N2-1gzTvv_w5NRPuB/view?usp=drive_link" xr:uid="{EC586C68-85C9-48E6-B086-FD137AB0FE26}"/>
    <hyperlink ref="F34" r:id="rId136" display="https://drive.google.com/file/d/1uXxwkaVOmGPENgVt-NQoGRJJkTF13Koa/view?usp=drive_link" xr:uid="{01D31FB1-9662-4D0A-90A8-34BDF57A9E73}"/>
    <hyperlink ref="F35" r:id="rId137" display="https://drive.google.com/file/d/1KmAJaN4chtydjt6TSNi_Y2kz7IqSohu_/view?usp=drive_link" xr:uid="{294617E3-2BD7-45C4-A773-DD093A298E4E}"/>
    <hyperlink ref="F36" r:id="rId138" display="https://drive.google.com/file/d/1Tt5Yid9J2IgEW0uG7MhYWa6WTMgzuwKN/view?usp=drive_link" xr:uid="{9CEDDB63-DF1E-4B25-A1DA-458350649135}"/>
    <hyperlink ref="F37" r:id="rId139" display="https://drive.google.com/file/d/1MC2H2ZaBgXJms-bzG34b_erz3E8Ni520/view?usp=drive_link" xr:uid="{2C125E8C-7295-44A1-8F89-3267E60382E7}"/>
    <hyperlink ref="F63" r:id="rId140" display="https://drive.google.com/file/d/1KvXTvqHQ-i0Rk97MRyYnNCjd1YNHlFJU/view?usp=drive_link" xr:uid="{093DB9DD-7B08-4902-86F8-AC886A48702A}"/>
    <hyperlink ref="F69" r:id="rId141" display="https://drive.google.com/file/d/1noIu-RGBh0ITAX0OnDqClI9iSR4LH4Ee/view?usp=drive_link" xr:uid="{35B3CF70-5929-45E9-B6D0-70676053D3D4}"/>
    <hyperlink ref="F125" r:id="rId142" display="https://drive.google.com/file/d/1LotbyQlZ3g9WBnJ7aqTTkbFRXxffraaT/view?usp=drive_link" xr:uid="{464A0FB1-161C-423C-A78E-9F464AD6A914}"/>
    <hyperlink ref="F129" r:id="rId143" display="https://drive.google.com/file/d/1-LJbu4zwSH9-dwEA-jYJWQcqzjE5k6Sb/view?usp=drive_link" xr:uid="{CE9CDB64-C07F-47E4-A1A1-27F9FC09AC14}"/>
    <hyperlink ref="F184" r:id="rId144" display="https://drive.google.com/file/d/1l7zZXQeZBOLzWEHo-WRc7LrUQqva-5c6/view?usp=drive_link" xr:uid="{62403017-F329-4F5D-804D-A42257FB12D7}"/>
    <hyperlink ref="F45" r:id="rId145" display="https://drive.google.com/file/d/1uurFgqwgFxhzvFIoDaTke7j4gNnLB0CF/view?usp=drive_link" xr:uid="{B52CBE7E-26AE-4B94-8E21-C240FB9E1A46}"/>
    <hyperlink ref="F46" r:id="rId146" display="https://drive.google.com/file/d/1sCe1wPhBDO9jcVzHzf8ZJNJxY-PoU0B8/view?usp=drive_link" xr:uid="{54D08697-F246-4A6B-9790-AFC6993C90E2}"/>
    <hyperlink ref="F39" r:id="rId147" display="https://drive.google.com/file/d/1zq9RQVago1L9GF0gi7MjdYZZv2ZTwKq4/view?usp=drive_link" xr:uid="{38A2F3CA-B157-4448-8AE8-8B91CF1E0925}"/>
    <hyperlink ref="F24" r:id="rId148" display="https://drive.google.com/file/d/1N09O_FloBm9TglhtfJMfVGprBby-hUlq/view?usp=drive_link" xr:uid="{DE0AAE8E-13C8-4D07-9F32-24286E946559}"/>
    <hyperlink ref="F25" r:id="rId149" display="https://drive.google.com/file/d/1ncnQ1QsFtSHEdx9rJUGF7vKgSD3Y04id/view?usp=drive_link" xr:uid="{85BEB4BE-EE42-4298-B561-8F4664F0AD4F}"/>
    <hyperlink ref="F21" r:id="rId150" display="https://drive.google.com/file/d/1mG4VLl6OMop168FD3ZOGd0SGy--WamT6/view?usp=drive_link" xr:uid="{665FD5B0-4E1A-43A1-924A-D4AE1D15D110}"/>
    <hyperlink ref="F38" r:id="rId151" display="https://drive.google.com/file/d/1ehKWRyDpSz5VDkBUSL1L2hvMX8Xtb8fv/view?usp=drive_link" xr:uid="{BDD9032E-FBCD-4E3C-A5F5-03EE47682759}"/>
    <hyperlink ref="F26" r:id="rId152" display="https://drive.google.com/file/d/1LbF7G4PtRG6XLFgnmR28-T13i2V5veHU/view?usp=drive_link" xr:uid="{D46B6FD6-C247-4BDB-953B-32847C058FCB}"/>
    <hyperlink ref="F28" r:id="rId153" display="https://drive.google.com/file/d/1ew-DGpbG_uIfQ35CL7zs-Ncja-_gXPxC/view?usp=drive_link" xr:uid="{8899AA9E-DA52-4922-8D95-0267E20453F5}"/>
    <hyperlink ref="F29" r:id="rId154" display="https://drive.google.com/file/d/1ON3eOxK7sow604PqDBQ59DEWaBgFa0B2/view?usp=drive_link" xr:uid="{A4FCAA9B-0FE2-4CCA-B6C9-42DA9346FFB9}"/>
    <hyperlink ref="F32" r:id="rId155" display="https://drive.google.com/file/d/1J4UVIc0Ec7cCHdykqZAiel-8ApzkoA8b/view?usp=drive_link" xr:uid="{28017839-C737-4D55-8857-49439042273B}"/>
    <hyperlink ref="F33" r:id="rId156" display="https://drive.google.com/file/d/1FUF0yaDXtFqNI9VnKRC-tCmlPe3mtWdF/view?usp=drive_link" xr:uid="{0E59B015-63CA-4739-B87A-11E367255F1C}"/>
    <hyperlink ref="F48" r:id="rId157" display="https://drive.google.com/file/d/1sRjUl8QCYt5y_hXg-NRlVKFAy519YyJu/view?usp=drive_link" xr:uid="{F094AC44-C49C-48A6-8E8D-4E551951CE5A}"/>
    <hyperlink ref="F66" r:id="rId158" display="https://drive.google.com/file/d/1OxoFDhGlsKr9rVounY3E-TqajzevZiq7/view?usp=drive_link" xr:uid="{9E572FAC-490E-4F5C-93C1-729099713CC6}"/>
    <hyperlink ref="F67" r:id="rId159" display="https://drive.google.com/file/d/10aL9A0LnqBLNc2lfixtUYamzjvCWDVBX/view?usp=drive_link" xr:uid="{3BB2390F-B80E-4620-AA9E-2CD37B4EE71F}"/>
    <hyperlink ref="F13" r:id="rId160" display="HBS000656 CERT.10123 Decibelimetro L=35~100Db-COM PADRÃO" xr:uid="{01B0BF54-AA94-45F7-A050-3495B86D711B}"/>
    <hyperlink ref="F164" r:id="rId161" display="https://drive.google.com/file/d/13Ox4v_ovxYV7sY6b1NgGTQt58Z9U0EOq/view?usp=drive_link" xr:uid="{6E378667-5139-4C0B-9D7D-DE7E7EAE0657}"/>
    <hyperlink ref="F43" r:id="rId162" display="https://drive.google.com/file/d/1el0CRU9Es0c34ovacVLseKmT_eR0H-kC/view?usp=drive_link" xr:uid="{2EAF0818-C1BB-4372-A4DC-B3B40C928A2C}"/>
    <hyperlink ref="F79" r:id="rId163" display="https://drive.google.com/file/d/1sIrQ6a5W4cfb2UnEruGQZN5gF4gTISza/view?usp=drive_link" xr:uid="{3629126F-2349-4775-8B7C-A7B01A99353D}"/>
    <hyperlink ref="F78" r:id="rId164" display="https://drive.google.com/file/d/1Lbv5WtHyIzbDN2KNoKqeWn5vI5JhipiB/view?usp=drive_link" xr:uid="{EE51A7A9-2A9A-472A-9D6D-3FE7A730FCB1}"/>
    <hyperlink ref="F76" r:id="rId165" display="https://drive.google.com/file/d/1P-bLW9jUcI68bAJnxLXIVucI4jwIckhu/view?usp=drive_link" xr:uid="{688E1CE4-3E33-4C93-9349-592449978DCE}"/>
    <hyperlink ref="F61" r:id="rId166" display="https://drive.google.com/file/d/1N6I7iu9ME2eXOxbG2wJO1TsLxmLIVaFo/view?usp=drive_link" xr:uid="{39E513D8-20B4-4118-B631-CB2350E8E585}"/>
    <hyperlink ref="F15" r:id="rId167" display="https://drive.google.com/file/d/1K35EWOSJZYJT08xOL6A0bs8W6yV3QVyQ/view?usp=drive_link" xr:uid="{F7D9F5A9-B44B-458F-8D77-81F11591AFF9}"/>
    <hyperlink ref="F52" r:id="rId168" display="HBS003003 CERT.64062-25 MANÔMETRO ANALOGICO   0-14 x 0,2 Kgf -cm²-COM PADRÃO." xr:uid="{05DD2737-12A2-47F1-86FF-860A134A1E8A}"/>
    <hyperlink ref="F64" r:id="rId169" display="HBS001004 CERT. 61782-24 calibrador de espessura tinta umida(wet film comb) 25-3000-COM PADRÃO" xr:uid="{E24490F6-5989-4C5D-8946-09F54DFBF0C3}"/>
    <hyperlink ref="F150" r:id="rId170" display="https://drive.google.com/file/d/1D3MonqQCVJls2Ebc9el5Alc6EmlbNPiE/view?usp=drive_link" xr:uid="{E4C4D87F-1990-4B56-A81A-B332F822D69E}"/>
    <hyperlink ref="F151" r:id="rId171" display="https://drive.google.com/file/d/1NzvQtbYFevZLTTbsCGvYTyx9-NnxWXAj/view?usp=drive_link" xr:uid="{2E30D107-4266-4AFD-972B-B44A42A1C6AD}"/>
    <hyperlink ref="F153" r:id="rId172" display="https://drive.google.com/file/d/1Q0K1O85U4OZdMXEb-8KEzA1oEiflJWDB/view?usp=drive_link" xr:uid="{8EB764CB-A520-4AE4-A0ED-15D0C58FECD6}"/>
    <hyperlink ref="F159" r:id="rId173" display="https://drive.google.com/file/d/1UvRknE-RKH-NadUVBm5BFhlPJFUwWOLM/view?usp=drive_link" xr:uid="{D8AAF17E-30E1-4646-8191-A4C77BF4BBB3}"/>
    <hyperlink ref="F165" r:id="rId174" display="https://drive.google.com/file/d/1EI4-wiCpArUrKsINzbvWxepWzpdqy9oN/view?usp=drive_link" xr:uid="{C1A9BA6F-95F9-493B-865F-637975899642}"/>
    <hyperlink ref="F176" r:id="rId175" display="https://drive.google.com/file/d/1ohQm7tIHQp2a1e65xjLswGv8bAxe4SX2/view?usp=drive_link" xr:uid="{7161B542-F825-4AD7-92B5-A7A8BBBFFAA8}"/>
    <hyperlink ref="F70" r:id="rId176" display="https://drive.google.com/file/d/1TZP56ggzgfGVvU_xe44L4EY_q1-E4Cob/view?usp=drive_link" xr:uid="{AE05181F-9316-4FF3-8EFE-C1ADB775C355}"/>
    <hyperlink ref="F81" r:id="rId177" display="https://drive.google.com/file/d/13CQekC2IhUXLvy6XEAU98NkdiImMxgPT/view?usp=drive_link" xr:uid="{C2A68E7F-77C2-468C-BB04-E602210135B6}"/>
    <hyperlink ref="F82" r:id="rId178" display="https://drive.google.com/file/d/14cgdDQMrdRWkC-nuF1qeZwrsf6zpXuBI/view?usp=drive_link" xr:uid="{1DFCE523-F777-4BAC-8F26-E37DCA31FE3E}"/>
    <hyperlink ref="F71" r:id="rId179" display="https://drive.google.com/file/d/1RYuip9el_i1gUG0gQn8uBz1Its_NDLId/view?usp=drive_link" xr:uid="{BCEC04E9-2954-45E6-960F-78CE2BC40A8D}"/>
    <hyperlink ref="F72" r:id="rId180" display="https://drive.google.com/file/d/1ST4m6g7G5RUIQJQGFd2si5UeH9lOVB1M/view?usp=drive_link" xr:uid="{C87339F7-B383-4AA7-8222-07079979B1B2}"/>
    <hyperlink ref="F73" r:id="rId181" display="https://drive.google.com/file/d/1f-Bhl0_D7kNl2HBpI4Ly1IiBdpPC4uYr/view?usp=drive_link" xr:uid="{6F5AB176-FD74-4235-A870-5474A70F2E7A}"/>
    <hyperlink ref="F74" r:id="rId182" display="https://drive.google.com/file/d/1_0jSmg8MRFPhdYMynxlvQ8IvRBrl_IZe/view?usp=drive_link" xr:uid="{BBC9A1C1-0434-4041-AB0D-3FE8A399D7E4}"/>
    <hyperlink ref="F75" r:id="rId183" display="https://drive.google.com/file/d/1zNbBWzmWimNsCxHPmooued2Ljt8Y6pcy/view?usp=drive_link" xr:uid="{5506B6B6-F925-4948-8119-60C2C4702F8E}"/>
    <hyperlink ref="F77" r:id="rId184" display="https://drive.google.com/file/d/1lggfIZtWIU58MW5zF4hlffFAhNt0JB9J/view?usp=drive_link" xr:uid="{996CDC15-1427-48F5-9ABC-E2549F700970}"/>
    <hyperlink ref="F80" r:id="rId185" display="https://drive.google.com/file/d/1Zz_is68Cu72eAi8IDhpne-fIjxr0ptCw/view?usp=drive_link" xr:uid="{878CFC45-FE87-4984-B893-081346A8C89D}"/>
    <hyperlink ref="F130" r:id="rId186" display="https://drive.google.com/file/d/1odDPv32wNnk4Kt6dH6lX5kNKme5AmSh6/view?usp=drive_link" xr:uid="{760D0CED-3DDF-4260-BAF4-A91A06EA9E8B}"/>
    <hyperlink ref="F131" r:id="rId187" display="https://drive.google.com/file/d/1s8kBUTOYHtTWySISKax6ueTa2cYQpEg-/view?usp=drive_link" xr:uid="{0566567D-D566-4E22-B7AE-2F5FB07DA073}"/>
    <hyperlink ref="F132" r:id="rId188" display="https://drive.google.com/file/d/1Pfa0VKTcfIeKJlENWuc3G106Z1hJ-xpz/view?usp=drive_link" xr:uid="{4B1A9D09-28B1-45D0-B69E-D9067D09AFE0}"/>
    <hyperlink ref="F126" r:id="rId189" display="https://drive.google.com/file/d/1CcVHr4hLxOG9PWd8mnuuWpCpWNTpybYJ/view?usp=drive_link" xr:uid="{4815E7D4-6400-44B1-9152-798FE9E50FBE}"/>
    <hyperlink ref="F146" r:id="rId190" display="https://drive.google.com/file/d/10TXd_5qz_3iFkntU3hWLKvShMdKx-M_F/view?usp=drive_link" xr:uid="{07531A34-F37A-4A77-AA95-F41BF2E5BA89}"/>
    <hyperlink ref="F136" r:id="rId191" display="https://drive.google.com/file/d/1AvUP291sfSXHFzaoFdo7S_Z8L0fDY_Q0/view?usp=drive_link" xr:uid="{282F90CF-387F-473C-9280-ADB5DA2B78CE}"/>
    <hyperlink ref="F172" r:id="rId192" display="https://drive.google.com/file/d/1MzVJQEFLNRuFdexc8ymzpYpBRCexVsu5/view?usp=drive_link" xr:uid="{A1A92550-4641-4FBC-82BB-76A14427D03D}"/>
    <hyperlink ref="F178" r:id="rId193" display="https://drive.google.com/file/d/16Zr1s1qukAE345Cdgonf02fN7c67A7ZQ/view?usp=drive_link" xr:uid="{E0E5197C-9CC4-4693-8E94-0C11F6F12B76}"/>
    <hyperlink ref="F147" r:id="rId194" display="https://drive.google.com/file/d/15G-QbSEVgSj4ey2J_3MBIkmmbMu3LZ2d/view?usp=drive_link" xr:uid="{3D7DD8CB-4B89-4D32-98B4-C091AB8FC228}"/>
    <hyperlink ref="F180" r:id="rId195" display="https://drive.google.com/file/d/1LLKun1dnOn5RvND4yIJmJ1Z0QRV2Dl8B/view?usp=drive_link" xr:uid="{D43FBF30-CB88-42C8-977F-65EB5E908662}"/>
    <hyperlink ref="F148" r:id="rId196" display="https://drive.google.com/file/d/14Vze1zUZFHpKnb0gYQAajfCVVL3z8468/view?usp=drive_link" xr:uid="{1721C89A-C8E1-428D-9D6A-2FD82EA4FD19}"/>
    <hyperlink ref="F124" r:id="rId197" display="https://drive.google.com/file/d/1YlXZwQeHQVyj12XU5pXO-tCW0eYnD-7h/view?usp=drive_link" xr:uid="{A12F3264-CA04-4878-BA96-F352ED37C67E}"/>
    <hyperlink ref="F177" r:id="rId198" display="https://drive.google.com/file/d/1wZyrZ30aVJNmka3eC1VNhIWxhTnaK9WR/view?usp=drive_link" xr:uid="{8C1E47E9-99C2-4646-AF79-B4A2725D0D8C}"/>
    <hyperlink ref="F173" r:id="rId199" display="https://drive.google.com/file/d/1fJA_iOtRAMC7d_4kit6lKwjcuMzhMAwb/view?usp=drive_link" xr:uid="{8DE68EC1-BA12-447E-BCA0-72329AE9E714}"/>
    <hyperlink ref="F174" r:id="rId200" display="https://drive.google.com/file/d/1buVZ1qpnwUiR5koROWPWm89ExZhorpKK/view?usp=drive_link" xr:uid="{DD8C85C6-C0C5-4CE6-9693-67EE9E797A07}"/>
    <hyperlink ref="F149" r:id="rId201" display="https://drive.google.com/file/d/1PSE34h_RZlnskyJU_5s1ueQQvf3qjuHg/view?usp=drive_link" xr:uid="{FBC090A5-4610-4995-963C-7518071B63AB}"/>
    <hyperlink ref="F175" r:id="rId202" display="https://drive.google.com/file/d/1htgFy4HYmgyJdrzCv8UPwuPktadA0XU9/view?usp=drive_link" xr:uid="{070A8FD2-C248-4C7C-80C1-EB05B70C6154}"/>
    <hyperlink ref="L16" r:id="rId203" xr:uid="{DF60F1D5-4717-4EFC-BC9C-E523FD03FA28}"/>
    <hyperlink ref="F204" r:id="rId204" xr:uid="{8EE4075B-E0CD-42E5-BCDC-F31D307B274A}"/>
    <hyperlink ref="L134" r:id="rId205" xr:uid="{E9A4AA31-5674-4309-9079-1C4EDDA78453}"/>
  </hyperlinks>
  <pageMargins left="0.511811024" right="0.511811024" top="0.78740157499999996" bottom="0.78740157499999996" header="0.31496062000000002" footer="0.31496062000000002"/>
  <pageSetup orientation="portrait" horizontalDpi="300" verticalDpi="300" r:id="rId206"/>
  <tableParts count="1">
    <tablePart r:id="rId207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2025-09-29T20:18:59Z</dcterms:modified>
  <cp:category/>
  <cp:contentStatus/>
</cp:coreProperties>
</file>