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CF89EF1D-07C5-4D57-BAD9-4434ECA3485F}" xr6:coauthVersionLast="47" xr6:coauthVersionMax="47" xr10:uidLastSave="{00000000-0000-0000-0000-000000000000}"/>
  <bookViews>
    <workbookView xWindow="-12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" i="1"/>
  <c r="K3" i="1"/>
  <c r="L3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/>
  <c r="K13" i="1"/>
  <c r="L13" i="1" s="1"/>
  <c r="K14" i="1"/>
  <c r="L14" i="1" s="1"/>
  <c r="K15" i="1"/>
  <c r="L15" i="1" s="1"/>
  <c r="K16" i="1"/>
  <c r="L16" i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/>
  <c r="K25" i="1"/>
  <c r="L25" i="1" s="1"/>
  <c r="K26" i="1"/>
  <c r="L26" i="1" s="1"/>
  <c r="K27" i="1"/>
  <c r="L27" i="1" s="1"/>
  <c r="K28" i="1"/>
  <c r="L28" i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/>
  <c r="K42" i="1"/>
  <c r="L42" i="1" s="1"/>
  <c r="K43" i="1"/>
  <c r="L43" i="1" s="1"/>
  <c r="K44" i="1"/>
  <c r="L44" i="1" s="1"/>
  <c r="K45" i="1"/>
  <c r="L45" i="1"/>
  <c r="K46" i="1"/>
  <c r="L46" i="1"/>
  <c r="K47" i="1"/>
  <c r="L47" i="1" s="1"/>
  <c r="K48" i="1"/>
  <c r="L48" i="1" s="1"/>
  <c r="K49" i="1"/>
  <c r="L49" i="1"/>
  <c r="K50" i="1"/>
  <c r="L50" i="1"/>
  <c r="K51" i="1"/>
  <c r="L51" i="1" s="1"/>
  <c r="K52" i="1"/>
  <c r="L52" i="1" s="1"/>
  <c r="K53" i="1"/>
  <c r="L53" i="1" s="1"/>
  <c r="K54" i="1"/>
  <c r="L54" i="1"/>
  <c r="K55" i="1"/>
  <c r="L55" i="1" s="1"/>
  <c r="K56" i="1"/>
  <c r="L56" i="1" s="1"/>
  <c r="K57" i="1"/>
  <c r="L57" i="1"/>
  <c r="K58" i="1"/>
  <c r="L58" i="1" s="1"/>
  <c r="K59" i="1"/>
  <c r="L59" i="1"/>
  <c r="K60" i="1"/>
  <c r="L60" i="1" s="1"/>
  <c r="K61" i="1"/>
  <c r="L61" i="1"/>
  <c r="K62" i="1"/>
  <c r="L62" i="1" s="1"/>
  <c r="K63" i="1"/>
  <c r="L63" i="1" s="1"/>
  <c r="K64" i="1"/>
  <c r="L64" i="1"/>
  <c r="K65" i="1"/>
  <c r="L65" i="1"/>
  <c r="K66" i="1"/>
  <c r="L66" i="1" s="1"/>
  <c r="K67" i="1"/>
  <c r="L67" i="1"/>
  <c r="K68" i="1"/>
  <c r="L68" i="1"/>
  <c r="K69" i="1"/>
  <c r="L69" i="1" s="1"/>
  <c r="K70" i="1"/>
  <c r="L70" i="1" s="1"/>
  <c r="K71" i="1"/>
  <c r="L71" i="1"/>
  <c r="K72" i="1"/>
  <c r="L72" i="1" s="1"/>
  <c r="K73" i="1"/>
  <c r="L73" i="1"/>
  <c r="K74" i="1"/>
  <c r="L74" i="1" s="1"/>
  <c r="K75" i="1"/>
  <c r="L75" i="1"/>
  <c r="K76" i="1"/>
  <c r="L76" i="1"/>
  <c r="K77" i="1"/>
  <c r="L77" i="1"/>
  <c r="K78" i="1"/>
  <c r="L78" i="1" s="1"/>
  <c r="K79" i="1"/>
  <c r="L79" i="1"/>
  <c r="K80" i="1"/>
  <c r="L80" i="1"/>
  <c r="K81" i="1"/>
  <c r="L81" i="1" s="1"/>
  <c r="K82" i="1"/>
  <c r="L82" i="1" s="1"/>
  <c r="K83" i="1"/>
  <c r="L83" i="1" s="1"/>
  <c r="K84" i="1"/>
  <c r="L84" i="1"/>
  <c r="K85" i="1"/>
  <c r="L85" i="1"/>
  <c r="K86" i="1"/>
  <c r="L86" i="1" s="1"/>
  <c r="K87" i="1"/>
  <c r="L87" i="1"/>
  <c r="K88" i="1"/>
  <c r="L88" i="1"/>
  <c r="K89" i="1"/>
  <c r="L89" i="1"/>
  <c r="K90" i="1"/>
  <c r="L90" i="1" s="1"/>
  <c r="K91" i="1"/>
  <c r="L91" i="1"/>
  <c r="K92" i="1"/>
  <c r="L92" i="1" s="1"/>
  <c r="K93" i="1"/>
  <c r="L93" i="1"/>
  <c r="K94" i="1"/>
  <c r="L94" i="1" s="1"/>
  <c r="K95" i="1"/>
  <c r="L95" i="1" s="1"/>
  <c r="K96" i="1"/>
  <c r="L96" i="1" s="1"/>
  <c r="K97" i="1"/>
  <c r="L97" i="1" s="1"/>
  <c r="K98" i="1"/>
  <c r="L98" i="1" s="1"/>
  <c r="K99" i="1"/>
  <c r="L99" i="1" s="1"/>
  <c r="K100" i="1"/>
  <c r="L100" i="1" s="1"/>
  <c r="K101" i="1"/>
  <c r="L101" i="1" s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 s="1"/>
  <c r="K109" i="1"/>
  <c r="L109" i="1" s="1"/>
  <c r="K110" i="1"/>
  <c r="L110" i="1"/>
  <c r="K111" i="1"/>
  <c r="L111" i="1" s="1"/>
  <c r="K112" i="1"/>
  <c r="L112" i="1" s="1"/>
  <c r="K113" i="1"/>
  <c r="L113" i="1" s="1"/>
  <c r="K114" i="1"/>
  <c r="L114" i="1"/>
  <c r="K115" i="1"/>
  <c r="L115" i="1" s="1"/>
  <c r="K116" i="1"/>
  <c r="L116" i="1" s="1"/>
  <c r="K117" i="1"/>
  <c r="L117" i="1" s="1"/>
  <c r="K118" i="1"/>
  <c r="L118" i="1" s="1"/>
  <c r="K119" i="1"/>
  <c r="L119" i="1" s="1"/>
  <c r="K120" i="1"/>
  <c r="L120" i="1" s="1"/>
  <c r="K121" i="1"/>
  <c r="L121" i="1"/>
  <c r="K122" i="1"/>
  <c r="L122" i="1" s="1"/>
  <c r="K123" i="1"/>
  <c r="L123" i="1" s="1"/>
  <c r="K124" i="1"/>
  <c r="L124" i="1" s="1"/>
  <c r="K125" i="1"/>
  <c r="L125" i="1"/>
  <c r="K126" i="1"/>
  <c r="L126" i="1"/>
  <c r="K127" i="1"/>
  <c r="L127" i="1" s="1"/>
  <c r="K128" i="1"/>
  <c r="L128" i="1" s="1"/>
  <c r="K129" i="1"/>
  <c r="L129" i="1" s="1"/>
  <c r="K130" i="1"/>
  <c r="L130" i="1" s="1"/>
  <c r="K131" i="1"/>
  <c r="L131" i="1" s="1"/>
  <c r="K132" i="1"/>
  <c r="L132" i="1" s="1"/>
  <c r="K133" i="1"/>
  <c r="L133" i="1" s="1"/>
  <c r="K134" i="1"/>
  <c r="L134" i="1" s="1"/>
  <c r="K135" i="1"/>
  <c r="L135" i="1" s="1"/>
  <c r="K136" i="1"/>
  <c r="L136" i="1" s="1"/>
  <c r="K137" i="1"/>
  <c r="L137" i="1" s="1"/>
  <c r="K138" i="1"/>
  <c r="L138" i="1" s="1"/>
  <c r="K139" i="1"/>
  <c r="L139" i="1" s="1"/>
  <c r="K140" i="1"/>
  <c r="L140" i="1" s="1"/>
  <c r="K141" i="1"/>
  <c r="L141" i="1" s="1"/>
  <c r="K142" i="1"/>
  <c r="L142" i="1"/>
  <c r="K143" i="1"/>
  <c r="L143" i="1" s="1"/>
  <c r="K144" i="1"/>
  <c r="L144" i="1" s="1"/>
  <c r="K145" i="1"/>
  <c r="L145" i="1" s="1"/>
  <c r="K146" i="1"/>
  <c r="L146" i="1"/>
  <c r="K147" i="1"/>
  <c r="L147" i="1" s="1"/>
  <c r="K148" i="1"/>
  <c r="L148" i="1" s="1"/>
  <c r="K149" i="1"/>
  <c r="L149" i="1" s="1"/>
  <c r="K150" i="1"/>
  <c r="L150" i="1" s="1"/>
  <c r="K151" i="1"/>
  <c r="L151" i="1" s="1"/>
  <c r="K152" i="1"/>
  <c r="L152" i="1" s="1"/>
  <c r="K153" i="1"/>
  <c r="L153" i="1"/>
  <c r="K154" i="1"/>
  <c r="L154" i="1" s="1"/>
  <c r="K155" i="1"/>
  <c r="L155" i="1" s="1"/>
  <c r="K156" i="1"/>
  <c r="L156" i="1" s="1"/>
  <c r="K157" i="1"/>
  <c r="L157" i="1"/>
  <c r="K158" i="1"/>
  <c r="L158" i="1"/>
  <c r="K159" i="1"/>
  <c r="L159" i="1" s="1"/>
  <c r="K160" i="1"/>
  <c r="L160" i="1" s="1"/>
  <c r="K161" i="1"/>
  <c r="L161" i="1" s="1"/>
  <c r="K162" i="1"/>
  <c r="L162" i="1" s="1"/>
  <c r="K163" i="1"/>
  <c r="L163" i="1" s="1"/>
  <c r="K164" i="1"/>
  <c r="L164" i="1" s="1"/>
  <c r="K165" i="1"/>
  <c r="L165" i="1" s="1"/>
  <c r="K166" i="1"/>
  <c r="L166" i="1" s="1"/>
  <c r="K167" i="1"/>
  <c r="L167" i="1" s="1"/>
  <c r="K168" i="1"/>
  <c r="L168" i="1" s="1"/>
  <c r="K169" i="1"/>
  <c r="L169" i="1" s="1"/>
  <c r="K170" i="1"/>
  <c r="L170" i="1" s="1"/>
  <c r="K171" i="1"/>
  <c r="L171" i="1" s="1"/>
  <c r="K172" i="1"/>
  <c r="L172" i="1" s="1"/>
  <c r="K173" i="1"/>
  <c r="L173" i="1" s="1"/>
  <c r="K174" i="1"/>
  <c r="L174" i="1"/>
  <c r="K175" i="1"/>
  <c r="L175" i="1" s="1"/>
  <c r="K176" i="1"/>
  <c r="L176" i="1" s="1"/>
  <c r="K177" i="1"/>
  <c r="L177" i="1" s="1"/>
  <c r="K178" i="1"/>
  <c r="L178" i="1"/>
  <c r="K179" i="1"/>
  <c r="L179" i="1" s="1"/>
  <c r="K180" i="1"/>
  <c r="L180" i="1" s="1"/>
  <c r="K181" i="1"/>
  <c r="L181" i="1" s="1"/>
  <c r="K182" i="1"/>
  <c r="L182" i="1" s="1"/>
  <c r="K183" i="1"/>
  <c r="L183" i="1" s="1"/>
  <c r="K184" i="1"/>
  <c r="L184" i="1" s="1"/>
  <c r="K185" i="1"/>
  <c r="L185" i="1"/>
  <c r="K186" i="1"/>
  <c r="L186" i="1" s="1"/>
  <c r="K187" i="1"/>
  <c r="L187" i="1" s="1"/>
  <c r="K188" i="1"/>
  <c r="L188" i="1" s="1"/>
  <c r="K189" i="1"/>
  <c r="L189" i="1"/>
  <c r="K190" i="1"/>
  <c r="L190" i="1"/>
  <c r="K191" i="1"/>
  <c r="L191" i="1" s="1"/>
  <c r="K192" i="1"/>
  <c r="L192" i="1" s="1"/>
  <c r="K193" i="1"/>
  <c r="L193" i="1" s="1"/>
  <c r="K194" i="1"/>
  <c r="L194" i="1" s="1"/>
  <c r="K195" i="1"/>
  <c r="L195" i="1" s="1"/>
  <c r="K196" i="1"/>
  <c r="L196" i="1" s="1"/>
  <c r="K197" i="1"/>
  <c r="L197" i="1" s="1"/>
  <c r="K198" i="1"/>
  <c r="L198" i="1" s="1"/>
  <c r="K199" i="1"/>
  <c r="L199" i="1" s="1"/>
  <c r="K200" i="1"/>
  <c r="L200" i="1" s="1"/>
  <c r="K201" i="1"/>
  <c r="L201" i="1" s="1"/>
  <c r="K202" i="1"/>
  <c r="L202" i="1" s="1"/>
  <c r="K203" i="1"/>
  <c r="L203" i="1" s="1"/>
  <c r="K2" i="1"/>
  <c r="L2" i="1" s="1"/>
</calcChain>
</file>

<file path=xl/sharedStrings.xml><?xml version="1.0" encoding="utf-8"?>
<sst xmlns="http://schemas.openxmlformats.org/spreadsheetml/2006/main" count="2720" uniqueCount="1335">
  <si>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</si>
  <si>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</si>
  <si>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</si>
  <si>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</si>
  <si>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</si>
  <si>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</si>
  <si>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</si>
  <si>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</si>
  <si>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</si>
  <si>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</si>
  <si>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</si>
  <si>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</si>
  <si>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</si>
  <si>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</si>
  <si>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</si>
  <si>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</si>
  <si>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</si>
  <si>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</si>
  <si>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</si>
  <si>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</si>
  <si>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</si>
  <si>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</si>
  <si>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</si>
  <si>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</si>
  <si>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</si>
  <si>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</si>
  <si>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</si>
  <si>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</si>
  <si>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</si>
  <si>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</si>
  <si>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</si>
  <si>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</si>
  <si>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</si>
  <si>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</si>
  <si>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</si>
  <si>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</si>
  <si>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</si>
  <si>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</si>
  <si>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</si>
  <si>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</si>
  <si>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</si>
  <si>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</si>
  <si>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</si>
  <si>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</si>
  <si>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</si>
  <si>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</si>
  <si>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</si>
  <si>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</si>
  <si>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</si>
  <si>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</si>
  <si>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</si>
  <si>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</si>
  <si>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</si>
  <si>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</si>
  <si>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</si>
  <si>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</si>
  <si>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</si>
  <si>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</si>
  <si>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</si>
  <si>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</si>
  <si>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</si>
  <si>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</si>
  <si>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</si>
  <si>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</si>
  <si>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</si>
  <si>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</si>
  <si>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</si>
  <si>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</si>
  <si>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</si>
  <si>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</si>
  <si>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</si>
  <si>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</si>
  <si>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</si>
  <si>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</si>
  <si>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</si>
  <si>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</si>
  <si>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</si>
  <si>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</si>
  <si>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</si>
  <si>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</si>
  <si>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</si>
  <si>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</si>
  <si>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</si>
  <si>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</si>
  <si>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</si>
  <si>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</si>
  <si>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</si>
  <si>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</si>
  <si>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</si>
  <si>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</si>
  <si>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</si>
  <si>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</si>
  <si>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</si>
  <si>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</si>
  <si>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</si>
  <si>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</si>
  <si>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</si>
  <si>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</si>
  <si>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</si>
  <si>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</si>
  <si>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</si>
  <si>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</si>
  <si>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</si>
  <si>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</si>
  <si>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</si>
  <si>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</si>
  <si>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</si>
  <si>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</si>
  <si>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</si>
  <si>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</si>
  <si>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</si>
  <si>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</si>
  <si>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</si>
  <si>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</si>
  <si>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</si>
  <si>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</si>
  <si>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</si>
  <si>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</si>
  <si>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</si>
  <si>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</si>
  <si>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</si>
  <si>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</si>
  <si>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</si>
  <si>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</si>
  <si>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</si>
  <si>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</si>
  <si>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</si>
  <si>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</si>
  <si>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</si>
  <si>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</si>
  <si>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</si>
  <si>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</si>
  <si>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</si>
  <si>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</si>
  <si>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</si>
  <si>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</si>
  <si>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</si>
  <si>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</si>
  <si>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</si>
  <si>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</si>
  <si>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</si>
  <si>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</si>
  <si>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</si>
  <si>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</si>
  <si>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</si>
  <si>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</si>
  <si>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</si>
  <si>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</si>
  <si>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</si>
  <si>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</si>
  <si>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</si>
  <si>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</si>
  <si>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</si>
  <si>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</si>
  <si>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</si>
  <si>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</si>
  <si>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</si>
  <si>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</si>
  <si>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</si>
  <si>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</si>
  <si>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</si>
  <si>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</si>
  <si>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</si>
  <si>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</si>
  <si>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</si>
  <si>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</si>
  <si>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</si>
  <si>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</si>
  <si>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</si>
  <si>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</si>
  <si>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</si>
  <si>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</si>
  <si>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</si>
  <si>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</si>
  <si>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</si>
  <si>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</si>
  <si>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</si>
  <si>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</si>
  <si>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</si>
  <si>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</si>
  <si>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</si>
  <si>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</si>
  <si>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</si>
  <si>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</si>
  <si>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</si>
  <si>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140281767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</si>
  <si>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</si>
  <si>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</si>
  <si>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</si>
  <si>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</si>
  <si>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</si>
  <si>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</si>
  <si>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</si>
  <si>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</si>
  <si>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</si>
  <si>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</si>
  <si>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</si>
  <si>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</si>
  <si>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</si>
  <si>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</si>
  <si>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</si>
  <si>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</si>
  <si>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</si>
  <si>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</si>
  <si>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</si>
  <si>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</si>
  <si>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</si>
  <si>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</si>
  <si>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</si>
  <si>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</si>
  <si>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</si>
  <si>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</si>
  <si>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</si>
  <si>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</si>
  <si>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</si>
  <si>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</si>
  <si>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</si>
  <si>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</si>
  <si>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</si>
  <si>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</si>
  <si>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</si>
  <si>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</si>
  <si>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</si>
  <si>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</si>
  <si>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</si>
  <si>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</si>
  <si>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</si>
  <si>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</si>
  <si>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</si>
  <si>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</si>
  <si>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</si>
  <si>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</si>
  <si>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</si>
  <si>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</si>
  <si>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</si>
  <si>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</si>
  <si>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</si>
  <si>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</si>
  <si>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</si>
  <si>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</si>
  <si>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</si>
  <si>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</si>
  <si>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</si>
  <si>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</si>
  <si>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</si>
  <si>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</si>
  <si>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</si>
  <si>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</si>
  <si>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</si>
  <si>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</si>
  <si>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</si>
  <si>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</si>
  <si>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</si>
  <si>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</si>
  <si>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</si>
  <si>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</si>
  <si>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</si>
  <si>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</si>
  <si>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</si>
  <si>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70808768</t>
  </si>
  <si>
    <t>70843014</t>
  </si>
  <si>
    <t>70808693</t>
  </si>
  <si>
    <t>HBS 003848</t>
  </si>
  <si>
    <t>14037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</si>
  <si>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</si>
  <si>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</si>
  <si>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</si>
  <si>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</si>
  <si>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</si>
  <si>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</si>
  <si>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</si>
  <si>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</si>
  <si>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</si>
  <si>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</si>
  <si>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</si>
  <si>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</si>
  <si>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70849013</t>
  </si>
  <si>
    <t>70772457</t>
  </si>
  <si>
    <t>70838825</t>
  </si>
  <si>
    <t>70807005</t>
  </si>
  <si>
    <t>70836971</t>
  </si>
  <si>
    <t>70808729</t>
  </si>
  <si>
    <t>70834788</t>
  </si>
  <si>
    <t>70834469</t>
  </si>
  <si>
    <t>70961058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</si>
  <si>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</si>
  <si>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</si>
  <si>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</si>
  <si>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</si>
  <si>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</si>
  <si>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</si>
  <si>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</si>
  <si>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</si>
  <si>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</si>
  <si>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</si>
  <si>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</si>
  <si>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</si>
  <si>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1A18183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</si>
  <si>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</si>
  <si>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</si>
  <si>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</si>
  <si>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</si>
  <si>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</si>
  <si>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</si>
  <si>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</si>
  <si>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</si>
  <si>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</si>
  <si>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</si>
  <si>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</si>
  <si>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</si>
  <si>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</si>
  <si>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</si>
  <si>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</si>
  <si>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</si>
  <si>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</si>
  <si>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</si>
  <si>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</si>
  <si>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</si>
  <si>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</si>
  <si>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</si>
  <si>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</si>
  <si>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</si>
  <si>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</si>
  <si>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</si>
  <si>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</si>
  <si>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</si>
  <si>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</si>
  <si>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</si>
  <si>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</si>
  <si>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</si>
  <si>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</si>
  <si>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</si>
  <si>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</si>
  <si>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</si>
  <si>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</si>
  <si>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</si>
  <si>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</si>
  <si>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</si>
  <si>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</si>
  <si>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</si>
  <si>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</si>
  <si>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</si>
  <si>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</si>
  <si>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</si>
  <si>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</si>
  <si>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</si>
  <si>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</si>
  <si>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</si>
  <si>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</si>
  <si>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</si>
  <si>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</si>
  <si>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</si>
  <si>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</si>
  <si>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</si>
  <si>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</si>
  <si>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</si>
  <si>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</si>
  <si>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</si>
  <si>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</si>
  <si>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</si>
  <si>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</si>
  <si>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</si>
  <si>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</si>
  <si>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</si>
  <si>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</si>
  <si>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</si>
  <si>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</si>
  <si>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</si>
  <si>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</si>
  <si>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</si>
  <si>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</si>
  <si>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</si>
  <si>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</si>
  <si>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</si>
  <si>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</si>
  <si>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</si>
  <si>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</si>
  <si>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</si>
  <si>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</si>
  <si>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</si>
  <si>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</si>
  <si>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</si>
  <si>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</si>
  <si>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</si>
  <si>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</si>
  <si>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</si>
  <si>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</si>
  <si>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</si>
  <si>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</si>
  <si>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</si>
  <si>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</si>
  <si>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</si>
  <si>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</si>
  <si>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</si>
  <si>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</si>
  <si>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</si>
  <si>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</si>
  <si>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</si>
  <si>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</si>
  <si>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</si>
  <si>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</si>
  <si>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</si>
  <si>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</si>
  <si>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</si>
  <si>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</si>
  <si>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</si>
  <si>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</si>
  <si>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</si>
  <si>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</si>
  <si>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</si>
  <si>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</si>
  <si>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</si>
  <si>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</si>
  <si>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</si>
  <si>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</si>
  <si>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</si>
  <si>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</si>
  <si>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</si>
  <si>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</si>
  <si>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</si>
  <si>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</si>
  <si>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</si>
  <si>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</si>
  <si>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</si>
  <si>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</si>
  <si>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</si>
  <si>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</si>
  <si>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</si>
  <si>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</si>
  <si>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</si>
  <si>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</si>
  <si>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</si>
  <si>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</si>
  <si>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</si>
  <si>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</si>
  <si>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</si>
  <si>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</si>
  <si>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</si>
  <si>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</si>
  <si>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</si>
  <si>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</si>
  <si>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</si>
  <si>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</si>
  <si>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</si>
  <si>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</si>
  <si>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</si>
  <si>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</si>
  <si>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</si>
  <si>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</si>
  <si>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</si>
  <si>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</si>
  <si>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</si>
  <si>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</si>
  <si>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</si>
  <si>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</si>
  <si>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</si>
  <si>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</si>
  <si>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</si>
  <si>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</si>
  <si>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</si>
  <si>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</si>
  <si>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</si>
  <si>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</si>
  <si>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</si>
  <si>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</si>
  <si>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</si>
  <si>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</si>
  <si>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</si>
  <si>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</si>
  <si>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</si>
  <si>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</si>
  <si>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</si>
  <si>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</si>
  <si>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</si>
  <si>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</si>
  <si>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</si>
  <si>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</si>
  <si>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</si>
  <si>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</si>
  <si>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</si>
  <si>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</si>
  <si>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</si>
  <si>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</si>
  <si>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</si>
  <si>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</si>
  <si>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</si>
  <si>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</si>
  <si>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</si>
  <si>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</si>
  <si>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</si>
  <si>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</si>
  <si>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</si>
  <si>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</si>
  <si>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</si>
  <si>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</si>
  <si>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</si>
  <si>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</si>
  <si>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</si>
  <si>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HBS002298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</si>
  <si>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</si>
  <si>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</si>
  <si>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</si>
  <si>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</si>
  <si>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</si>
  <si>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</si>
  <si>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</si>
  <si>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</si>
  <si>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</si>
  <si>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</si>
  <si>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</si>
  <si>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</si>
  <si>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</si>
  <si>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</si>
  <si>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</si>
  <si>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</si>
  <si>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https://encrypted-tbn0.gstatic.com/images?q=tbn:ANd9GcRoWbfRU7U4syUBu5wzhjyNwzpO7qyTL9hKoA&amp;s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</si>
  <si>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</si>
  <si>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</si>
  <si>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</si>
  <si>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</si>
  <si>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</si>
  <si>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</si>
  <si>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</si>
  <si>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</si>
  <si>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</si>
  <si>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</si>
  <si>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</si>
  <si>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</si>
  <si>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</si>
  <si>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</si>
  <si>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</si>
  <si>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</si>
  <si>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</si>
  <si>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</si>
  <si>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</si>
  <si>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</si>
  <si>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</si>
  <si>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</si>
  <si>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</si>
  <si>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</si>
  <si>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</si>
  <si>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</si>
  <si>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</si>
  <si>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</si>
  <si>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</si>
  <si>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</si>
  <si>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</si>
  <si>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</si>
  <si>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</si>
  <si>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</si>
  <si>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</si>
  <si>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</si>
  <si>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</si>
  <si>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</si>
  <si>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</si>
  <si>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</si>
  <si>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</si>
  <si>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</si>
  <si>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</si>
  <si>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</si>
  <si>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</si>
  <si>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</si>
  <si>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</si>
  <si>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</si>
  <si>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</si>
  <si>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</si>
  <si>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</si>
  <si>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</si>
  <si>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</si>
  <si>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</si>
  <si>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</si>
  <si>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</si>
  <si>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</si>
  <si>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</si>
  <si>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CAPACIDADE</t>
  </si>
  <si>
    <t>RESOLUÇÃO</t>
  </si>
  <si>
    <t>INCERTEZA / ERRO MÁXIMO</t>
  </si>
  <si>
    <t>STATUS</t>
  </si>
  <si>
    <t>PADRÕES UTILIZADOS</t>
  </si>
  <si>
    <t>Alicate Amperímetro</t>
  </si>
  <si>
    <t>MINIPA</t>
  </si>
  <si>
    <t>ET-3367C</t>
  </si>
  <si>
    <t>600V / 600A</t>
  </si>
  <si>
    <t>Variável</t>
  </si>
  <si>
    <t>62194/25</t>
  </si>
  <si>
    <t>Erro AC: 9,9A / U=±1,0%</t>
  </si>
  <si>
    <t>Aprovado</t>
  </si>
  <si>
    <t>Calibrador Multifuncional GFUVE.</t>
  </si>
  <si>
    <t>Alicate Amperímetro Digital</t>
  </si>
  <si>
    <t>62195/25</t>
  </si>
  <si>
    <t>Corrente U=±1,0%, Erro -5,15%</t>
  </si>
  <si>
    <t>Alerta de Desempenho</t>
  </si>
  <si>
    <t>Calibrador Multifuncional GFUVE (GF6018A), Coil Calibration GFUVE.</t>
  </si>
  <si>
    <t>Multímetro Digital</t>
  </si>
  <si>
    <t>FLUKE</t>
  </si>
  <si>
    <t>750V / 1000A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</si>
  <si>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</si>
  <si>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</si>
  <si>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</si>
  <si>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</si>
  <si>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</si>
  <si>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</si>
  <si>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</si>
  <si>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Balança Digital</t>
  </si>
  <si>
    <t>BALMAK</t>
  </si>
  <si>
    <t>ELP-6/15/30</t>
  </si>
  <si>
    <t>30 Kg</t>
  </si>
  <si>
    <t>10 g</t>
  </si>
  <si>
    <t>65416/25</t>
  </si>
  <si>
    <t>Incerteza: 10,65 g / Erro: 10 g</t>
  </si>
  <si>
    <t>Nível de bolha, Pesos Padrão.</t>
  </si>
  <si>
    <t>30 kg</t>
  </si>
  <si>
    <t>65429/25</t>
  </si>
  <si>
    <t>Incerteza: 0,65 g / Erro: 2 g</t>
  </si>
  <si>
    <t>BELAKASA</t>
  </si>
  <si>
    <t>N/C</t>
  </si>
  <si>
    <t>0 - 10000 g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</si>
  <si>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</si>
  <si>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</si>
  <si>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</si>
  <si>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</si>
  <si>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</si>
  <si>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</si>
  <si>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Balança digital</t>
  </si>
  <si>
    <t>TOLETO</t>
  </si>
  <si>
    <t>PRIX 2099/59</t>
  </si>
  <si>
    <t>0 - 300Kg</t>
  </si>
  <si>
    <t>50g</t>
  </si>
  <si>
    <t>63175/25</t>
  </si>
  <si>
    <t>Tendência: 0 / Incerteza: ±0,30g</t>
  </si>
  <si>
    <t>Célula de Carga</t>
  </si>
  <si>
    <t>HFN</t>
  </si>
  <si>
    <t>AG-12,5 T</t>
  </si>
  <si>
    <t>0 a 12,5 t</t>
  </si>
  <si>
    <t>0,01 t</t>
  </si>
  <si>
    <t>Erro Máx: -0,07 t</t>
  </si>
  <si>
    <t>Padrão de Referência PTF-0008.</t>
  </si>
  <si>
    <t>Medidor 4 em 1 (THDL)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</si>
  <si>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</si>
  <si>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</si>
  <si>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</si>
  <si>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</si>
  <si>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</si>
  <si>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</si>
  <si>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Detector de Tensão</t>
  </si>
  <si>
    <t>HD690</t>
  </si>
  <si>
    <t>até 690 V</t>
  </si>
  <si>
    <t>1 V</t>
  </si>
  <si>
    <t>Erro: -1,12 V / U = 0,6 V</t>
  </si>
  <si>
    <t>Multímetro Digital Fluke (PTT-2005).</t>
  </si>
  <si>
    <t>MSHA</t>
  </si>
  <si>
    <t>TIC 300 PRO</t>
  </si>
  <si>
    <t>(0,03 a 122) KVCA</t>
  </si>
  <si>
    <t>1 KVCA</t>
  </si>
  <si>
    <t>HBS-00065839560</t>
  </si>
  <si>
    <t>Inc. Exp. + Tendência: 0,6 KVCA</t>
  </si>
  <si>
    <t>Calibrador Fluke (PTE-0086).</t>
  </si>
  <si>
    <t>Detector de Gás Portátil</t>
  </si>
  <si>
    <t>Honeywell</t>
  </si>
  <si>
    <t>GasAlert MicroClip XL</t>
  </si>
  <si>
    <t>4 Gases</t>
  </si>
  <si>
    <t>06649/25</t>
  </si>
  <si>
    <t>Erro: 0,0 / U=1,3 %LEL</t>
  </si>
  <si>
    <t>Gás Padrão (Oxigênio, Metano, CO, H2S).</t>
  </si>
  <si>
    <t>06650/25</t>
  </si>
  <si>
    <t>Detector de Gás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</si>
  <si>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</si>
  <si>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</si>
  <si>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</si>
  <si>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</si>
  <si>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</si>
  <si>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</si>
  <si>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</si>
  <si>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</si>
  <si>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</si>
  <si>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Escala de Aço</t>
  </si>
  <si>
    <t>0-1000mm</t>
  </si>
  <si>
    <t>1 mm</t>
  </si>
  <si>
    <t>62254/25</t>
  </si>
  <si>
    <t>Erro: -0,06mm / U=0,20mm</t>
  </si>
  <si>
    <t>Máquina de Medição Trimos, Blocos Padrão.</t>
  </si>
  <si>
    <t>Escala de Aço Graduada</t>
  </si>
  <si>
    <t>VONDER</t>
  </si>
  <si>
    <t>0 - 1000 mm</t>
  </si>
  <si>
    <t>62255/25</t>
  </si>
  <si>
    <t>U = 0,20mm / Erro: -0,06 mm</t>
  </si>
  <si>
    <t>Caixa Blocos Padrão Mitutoyo ( CL 0 ), Máquina de Medição Trimos.</t>
  </si>
  <si>
    <t>62253/25</t>
  </si>
  <si>
    <t>0 - 150 mm</t>
  </si>
  <si>
    <t>0,5 mm</t>
  </si>
  <si>
    <t>62248/25</t>
  </si>
  <si>
    <t>U = 0,20mm / Erro: 0,10 mm</t>
  </si>
  <si>
    <t>Caixa Blocos Padrão Mitutoyo, Máquina de Medição Universal Trimos.</t>
  </si>
  <si>
    <t>0-150mm</t>
  </si>
  <si>
    <t>62247/25</t>
  </si>
  <si>
    <t>Erro: 0,10mm / U=0,20mm</t>
  </si>
  <si>
    <t>KINGTOOLS</t>
  </si>
  <si>
    <t>0-1500mm</t>
  </si>
  <si>
    <t>64534/25</t>
  </si>
  <si>
    <t>Erro: -0,02mm / U=0,2mm</t>
  </si>
  <si>
    <t>64532/25</t>
  </si>
  <si>
    <t>0-2000 mm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</si>
  <si>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</si>
  <si>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</si>
  <si>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</si>
  <si>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</si>
  <si>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</si>
  <si>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</si>
  <si>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</si>
  <si>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0 - 2000 mm</t>
  </si>
  <si>
    <t>64535/25</t>
  </si>
  <si>
    <t>U = 0,2mm / Erro: 0,05 mm</t>
  </si>
  <si>
    <t>0-2000mm</t>
  </si>
  <si>
    <t>62252/25</t>
  </si>
  <si>
    <t>Erro: -0,07mm / U=0,2mm</t>
  </si>
  <si>
    <t>BRASFORT</t>
  </si>
  <si>
    <t>0 - 300 mm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</si>
  <si>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</si>
  <si>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</si>
  <si>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</si>
  <si>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</si>
  <si>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</si>
  <si>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</si>
  <si>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</si>
  <si>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</si>
  <si>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</si>
  <si>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</si>
  <si>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Bancada de Medição</t>
  </si>
  <si>
    <t>Trimos</t>
  </si>
  <si>
    <t>HPA 1000</t>
  </si>
  <si>
    <t>0-1050 mm</t>
  </si>
  <si>
    <t>0,0001 mm</t>
  </si>
  <si>
    <t>62246/25</t>
  </si>
  <si>
    <t>Incerteza declarada da bancada</t>
  </si>
  <si>
    <t>Blocos Padrão (Mitutoyo), Barras Padrão.</t>
  </si>
  <si>
    <t>MARBERG</t>
  </si>
  <si>
    <t>0 - 600 mm</t>
  </si>
  <si>
    <t>62245/25</t>
  </si>
  <si>
    <t>U=0,20mm / Erro: 0,03 mm</t>
  </si>
  <si>
    <t>Esquadro com base</t>
  </si>
  <si>
    <t>190 x 300 mm</t>
  </si>
  <si>
    <t>N/A</t>
  </si>
  <si>
    <t>66488/25</t>
  </si>
  <si>
    <t>U=0,01mm / Erro Máx: 0,03mm</t>
  </si>
  <si>
    <t>Desempeno de Granito, Esquadro de Granito.</t>
  </si>
  <si>
    <t>160 x 300 mm</t>
  </si>
  <si>
    <t>66489/25</t>
  </si>
  <si>
    <t>130 x 300 mm</t>
  </si>
  <si>
    <t>66487/25</t>
  </si>
  <si>
    <t>20250373/CT-012</t>
  </si>
  <si>
    <t>Manômetro Analógico</t>
  </si>
  <si>
    <t>0-10x 0,2 kgf/cm²</t>
  </si>
  <si>
    <t>0,2 kgf/cm²</t>
  </si>
  <si>
    <t>64251/25</t>
  </si>
  <si>
    <t>U=1,0% / Desvio Máximo: 2,00%</t>
  </si>
  <si>
    <t>Manômetro Padrão Record (RBC).</t>
  </si>
  <si>
    <t>SALVI</t>
  </si>
  <si>
    <t>0 - 7 kgf/cm²</t>
  </si>
  <si>
    <t>0,1 kgf/cm²</t>
  </si>
  <si>
    <t>64247/25</t>
  </si>
  <si>
    <t>U = 0,1% / Desvio: 1,41%</t>
  </si>
  <si>
    <t>Manômetro Padrão Famabras.</t>
  </si>
  <si>
    <t>WIKA</t>
  </si>
  <si>
    <t>CLA.A1</t>
  </si>
  <si>
    <t>0-20x 0,2 bar</t>
  </si>
  <si>
    <t>0,2 bar</t>
  </si>
  <si>
    <t>64248/25</t>
  </si>
  <si>
    <t>U = 1,0% / Desvio Máximo: 2,67%</t>
  </si>
  <si>
    <t>Manômetro Padrão Famabras, Manômetro Padrão Record.</t>
  </si>
  <si>
    <t>0 - 700 Bar</t>
  </si>
  <si>
    <t>5 Bar</t>
  </si>
  <si>
    <t>64065/25</t>
  </si>
  <si>
    <t>U = 1,0% / Desvio: 2,44%</t>
  </si>
  <si>
    <t>Manômetro Padrão (0-160 kgf/cm² e 0-600 bar).</t>
  </si>
  <si>
    <t>0 - 280 bar</t>
  </si>
  <si>
    <t>5 kgf/cm²</t>
  </si>
  <si>
    <t>64064/25</t>
  </si>
  <si>
    <t>Desvio Máx: 0,8% / U=1,5%</t>
  </si>
  <si>
    <t>Manômetro padrão (CEIME).</t>
  </si>
  <si>
    <t>0-700 kgf/cm²</t>
  </si>
  <si>
    <t>10 kgf/cm²</t>
  </si>
  <si>
    <t>65153/25</t>
  </si>
  <si>
    <t>U = 1,0% / Desvio Máximo: 4,24%</t>
  </si>
  <si>
    <t>Manômetro Padrão CEIME (0-160 kgf/cm² e 0-600 bar).</t>
  </si>
  <si>
    <t>WINIER</t>
  </si>
  <si>
    <t>0-7x0,1 kgf/cm²</t>
  </si>
  <si>
    <t>64253/25</t>
  </si>
  <si>
    <t>U = 0,1% / Desvio Máximo: 2,91%</t>
  </si>
  <si>
    <t>Manômetro Padrão CEIME.</t>
  </si>
  <si>
    <t>SALCAS</t>
  </si>
  <si>
    <t>0-100 Kgf/cm²</t>
  </si>
  <si>
    <t>0,5 Kgf/cm²</t>
  </si>
  <si>
    <t>63642/25</t>
  </si>
  <si>
    <t>U = 1,0% / Desvio: 3,90%</t>
  </si>
  <si>
    <t>Manômetro digital LABMETRO (0-150 kgf/cm² e 0-150 bar).</t>
  </si>
  <si>
    <t>NUQUAFIMA</t>
  </si>
  <si>
    <t>0-14 kgf/cm²</t>
  </si>
  <si>
    <t>64062/25</t>
  </si>
  <si>
    <t>Desvio Máx: 0,4% / U=0,1%</t>
  </si>
  <si>
    <t>Manômetro Padrão (Famabras).</t>
  </si>
  <si>
    <t>14105-1</t>
  </si>
  <si>
    <t>0-16x 0,5 Kgf-cm²</t>
  </si>
  <si>
    <t>0,5 Kgf-cm²</t>
  </si>
  <si>
    <t>64250/25</t>
  </si>
  <si>
    <t>U=0,1% / Desvio: 2,50%</t>
  </si>
  <si>
    <t>0-250 x 5 bar</t>
  </si>
  <si>
    <t>5 bar</t>
  </si>
  <si>
    <t>64254/25</t>
  </si>
  <si>
    <t>U=1,0% / Desvio Máximo: 1,0%</t>
  </si>
  <si>
    <t>Manômetro Padrão Record e CEIME.</t>
  </si>
  <si>
    <t>WINTERS</t>
  </si>
  <si>
    <t>0-20x 0,5 kgf/cm²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</si>
  <si>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</si>
  <si>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</si>
  <si>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</si>
  <si>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</si>
  <si>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</si>
  <si>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</si>
  <si>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0 - 5 kgf/cm²</t>
  </si>
  <si>
    <t>64246/25</t>
  </si>
  <si>
    <t>U = 0,1% / Desvio: 3,84%</t>
  </si>
  <si>
    <t>0 - 5 bar</t>
  </si>
  <si>
    <t>64245/25</t>
  </si>
  <si>
    <t>U = 0,1% / Desvio: 10,71%</t>
  </si>
  <si>
    <t>64244/25</t>
  </si>
  <si>
    <t>U=0,1% / Desvio: 0,66%</t>
  </si>
  <si>
    <t>Medidor de Espessura</t>
  </si>
  <si>
    <t>INSTRUTEMP</t>
  </si>
  <si>
    <t>0 - 1800x1µm</t>
  </si>
  <si>
    <t>1 µm</t>
  </si>
  <si>
    <t>63154/25</t>
  </si>
  <si>
    <t>U=±3%</t>
  </si>
  <si>
    <t>Jogo de Películas Padrão Elcometer, Blocos Padrão Mitutoyo.</t>
  </si>
  <si>
    <t>ME-240</t>
  </si>
  <si>
    <t>0 - 1000 µm</t>
  </si>
  <si>
    <t>62294/24</t>
  </si>
  <si>
    <t>U = ± 3%</t>
  </si>
  <si>
    <t>Jogo de Películas Padrão Elcometer, Blocos Padrão Mitutoyo, Micrômetro Externo CEIME.</t>
  </si>
  <si>
    <t>Medidor de Camada Úmida</t>
  </si>
  <si>
    <t>TQC</t>
  </si>
  <si>
    <t>SP4010/WG2</t>
  </si>
  <si>
    <t>25 - 2000 µm</t>
  </si>
  <si>
    <t>Erro: ±1µm / U=1µm</t>
  </si>
  <si>
    <t>Relógio Comparador, Termohigrômetro.</t>
  </si>
  <si>
    <t>MCT-401</t>
  </si>
  <si>
    <t>0-1000µm</t>
  </si>
  <si>
    <t>1µm</t>
  </si>
  <si>
    <t>62293/24</t>
  </si>
  <si>
    <t>U=±3% / Erro: +1µm</t>
  </si>
  <si>
    <t>Blocos Padrão, Jogo de películas padrão, Micrômetro externo.</t>
  </si>
  <si>
    <t>Medidor Espessura Tinta Úmida</t>
  </si>
  <si>
    <t>ME-245</t>
  </si>
  <si>
    <t>25-3000 µm</t>
  </si>
  <si>
    <t>61782/24</t>
  </si>
  <si>
    <t>U=±2,4µm</t>
  </si>
  <si>
    <t>Desempeno de granito, Comparador digital.</t>
  </si>
  <si>
    <t>Megohmetro Digital</t>
  </si>
  <si>
    <t>MEGGER</t>
  </si>
  <si>
    <t>MIT1020/2</t>
  </si>
  <si>
    <t>10 KV</t>
  </si>
  <si>
    <t>0,01 M/GΩ</t>
  </si>
  <si>
    <t>2507003A</t>
  </si>
  <si>
    <t>Desvio Máximo: 3,00%</t>
  </si>
  <si>
    <t>Caixa de Resistência Megabrás CPR-20G.</t>
  </si>
  <si>
    <t>ITMG800</t>
  </si>
  <si>
    <t>250/500/1000V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</si>
  <si>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</si>
  <si>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</si>
  <si>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</si>
  <si>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</si>
  <si>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</si>
  <si>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Micrômetro Profundidade</t>
  </si>
  <si>
    <t>PANTEC</t>
  </si>
  <si>
    <t>0-100mm</t>
  </si>
  <si>
    <t>0,01mm</t>
  </si>
  <si>
    <t>64074/25</t>
  </si>
  <si>
    <t>U=0,003mm / Desvio: 9µm</t>
  </si>
  <si>
    <t>Blocos Padrão, Máquina de Medição Trimos.</t>
  </si>
  <si>
    <t>Micrômetro de Profundidade</t>
  </si>
  <si>
    <t>DIGIMESS</t>
  </si>
  <si>
    <t>0,01 mm</t>
  </si>
  <si>
    <t>63947/25</t>
  </si>
  <si>
    <t>U = 0,003 mm / Erro: +0,002 mm</t>
  </si>
  <si>
    <t>Barra Padrão p/ Micrômetro</t>
  </si>
  <si>
    <t>25 mm</t>
  </si>
  <si>
    <t>62138/25</t>
  </si>
  <si>
    <t>U = 0,003mm / Erro: +0,0014 mm</t>
  </si>
  <si>
    <t>Máquina de Medição Universal Trimos, Caixa Blocos Padrão Mitutoyo.</t>
  </si>
  <si>
    <t>Micrômetro Externo</t>
  </si>
  <si>
    <t>100 - 125 mm</t>
  </si>
  <si>
    <t>62130/24</t>
  </si>
  <si>
    <t>U=0,003mm / Erro: +0,001 mm</t>
  </si>
  <si>
    <t>Caixa Blocos Padrão Mitutoyo ( CL 0 ), Jogo de Paralelos Ópticos Mitutoyo.</t>
  </si>
  <si>
    <t>125 - 150 mm</t>
  </si>
  <si>
    <t>62131/25</t>
  </si>
  <si>
    <t>U = 0,003 mm / Erro: -0,001 mm</t>
  </si>
  <si>
    <t>150 - 175 mm</t>
  </si>
  <si>
    <t>62132/25</t>
  </si>
  <si>
    <t>Erro: +0,001 mm / U=0,003mm</t>
  </si>
  <si>
    <t>Caixa Blocos Padrão, Paralelos Ópticos.</t>
  </si>
  <si>
    <t>175 - 200 mm</t>
  </si>
  <si>
    <t>62133/25</t>
  </si>
  <si>
    <t>U = 0,003 mm / Erro: +0,001 mm</t>
  </si>
  <si>
    <t>200 - 225 mm</t>
  </si>
  <si>
    <t>62134/25</t>
  </si>
  <si>
    <t>225 - 250 mm</t>
  </si>
  <si>
    <t>62135/25</t>
  </si>
  <si>
    <t>50 mm</t>
  </si>
  <si>
    <t>62149/25</t>
  </si>
  <si>
    <t>U = 0,003mm / Erro: +0,0004 mm</t>
  </si>
  <si>
    <t>250 - 275 mm</t>
  </si>
  <si>
    <t>62136/25</t>
  </si>
  <si>
    <t>275 - 300 mm</t>
  </si>
  <si>
    <t>62137/25</t>
  </si>
  <si>
    <t>U = 0,003 mm / Erro: 0,000 mm</t>
  </si>
  <si>
    <t>110-223</t>
  </si>
  <si>
    <t>300 - 400 mm</t>
  </si>
  <si>
    <t>2505002A</t>
  </si>
  <si>
    <t>Erro Máximo: -2 µm</t>
  </si>
  <si>
    <t>Anel Padrão Liso Cilíndrico.</t>
  </si>
  <si>
    <t>62139/25</t>
  </si>
  <si>
    <t>U = 0,003mm / Erro: 0,0000 mm</t>
  </si>
  <si>
    <t>75 mm</t>
  </si>
  <si>
    <t>62140/25</t>
  </si>
  <si>
    <t>U = 0,003mm / Erro: -0,0002 mm</t>
  </si>
  <si>
    <t>63155/25</t>
  </si>
  <si>
    <t>Imicro (Micrômetro Interno)</t>
  </si>
  <si>
    <t>110.690-13</t>
  </si>
  <si>
    <t>25 a 30 mm</t>
  </si>
  <si>
    <t>0,005 mm</t>
  </si>
  <si>
    <t>2504001A</t>
  </si>
  <si>
    <t>Desvio: -0,003 mm</t>
  </si>
  <si>
    <t>Calibrador anel liso cilíndrico (PR0038).</t>
  </si>
  <si>
    <t>110.690-14</t>
  </si>
  <si>
    <t>30 a 35 mm</t>
  </si>
  <si>
    <t>2504002A</t>
  </si>
  <si>
    <t>Desvio: -0,001 mm</t>
  </si>
  <si>
    <t>Calibrador anel liso cilíndrico (PR0050).</t>
  </si>
  <si>
    <t>Micrômetro Interno (Imicro)</t>
  </si>
  <si>
    <t>110.690-15</t>
  </si>
  <si>
    <t>35 a 40 mm</t>
  </si>
  <si>
    <t>2504003A</t>
  </si>
  <si>
    <t>Calibrador anel liso cilíndrico (PR0064).</t>
  </si>
  <si>
    <t>110.690-17</t>
  </si>
  <si>
    <t>50 a 60 mm</t>
  </si>
  <si>
    <t>2504004A</t>
  </si>
  <si>
    <t>110.690-19</t>
  </si>
  <si>
    <t>60 a 70 mm</t>
  </si>
  <si>
    <t>2504005A</t>
  </si>
  <si>
    <t>Desvio: +0,002 mm</t>
  </si>
  <si>
    <t>Calibrador anel liso cilíndrico (PR0073).</t>
  </si>
  <si>
    <t>110.690-16</t>
  </si>
  <si>
    <t>70 a 80 mm</t>
  </si>
  <si>
    <t>2504006A</t>
  </si>
  <si>
    <t>Medidor Tubular</t>
  </si>
  <si>
    <t>140-160</t>
  </si>
  <si>
    <t>1000 a 5000 mm</t>
  </si>
  <si>
    <t>2507001A</t>
  </si>
  <si>
    <t>Não declarado</t>
  </si>
  <si>
    <t>Revisão Documental</t>
  </si>
  <si>
    <t>Unidade Laser Renishaw (LM0004).</t>
  </si>
  <si>
    <t>Micrômetro Interno Tubular</t>
  </si>
  <si>
    <t>MITUTOYO</t>
  </si>
  <si>
    <t>50-1500mm</t>
  </si>
  <si>
    <t>64072/25</t>
  </si>
  <si>
    <t>U=0,005mm3 / Erro: -6µm</t>
  </si>
  <si>
    <t>64073/25</t>
  </si>
  <si>
    <t>U=0,005mm3 / Erro: -5µm</t>
  </si>
  <si>
    <t>Mira de Alumínio</t>
  </si>
  <si>
    <t>wild heerbrugg</t>
  </si>
  <si>
    <t>2000 mm</t>
  </si>
  <si>
    <t>62446/25</t>
  </si>
  <si>
    <t>U=0,30mm / Erro Máx: 0,15mm</t>
  </si>
  <si>
    <t>Máquina de Medição Trimos, Trena de Aço Starrett.</t>
  </si>
  <si>
    <t>ET-2082</t>
  </si>
  <si>
    <t>600V / 10A</t>
  </si>
  <si>
    <t>63187/25</t>
  </si>
  <si>
    <t>Erro DC: -0,05A / U=±0,5%</t>
  </si>
  <si>
    <t>Nível de Bolha</t>
  </si>
  <si>
    <t>42-8865</t>
  </si>
  <si>
    <t>305 mm</t>
  </si>
  <si>
    <t>66512/25</t>
  </si>
  <si>
    <t>U=0,01mm/m / Erro Máx: 0,18mm/m</t>
  </si>
  <si>
    <t>Desempeno, Esquadro, Tambor Micrométrico, Blocos Padrão.</t>
  </si>
  <si>
    <t>Nível com 2 bolhas</t>
  </si>
  <si>
    <t>43105/012</t>
  </si>
  <si>
    <t>305x55x20 mm</t>
  </si>
  <si>
    <t>66513/25</t>
  </si>
  <si>
    <t>Erro: 0,18mm/m / U=0,01mm/m</t>
  </si>
  <si>
    <t>300 mm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</si>
  <si>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</si>
  <si>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</si>
  <si>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</si>
  <si>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</si>
  <si>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</si>
  <si>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</si>
  <si>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</si>
  <si>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</si>
  <si>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</si>
  <si>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</si>
  <si>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</si>
  <si>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</si>
  <si>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</si>
  <si>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</si>
  <si>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</si>
  <si>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</si>
  <si>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</si>
  <si>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</si>
  <si>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</si>
  <si>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</si>
  <si>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</si>
  <si>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</si>
  <si>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</si>
  <si>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</si>
  <si>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</si>
  <si>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</si>
  <si>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</si>
  <si>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</si>
  <si>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</si>
  <si>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</si>
  <si>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</si>
  <si>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400 mm</t>
  </si>
  <si>
    <t>66515/25</t>
  </si>
  <si>
    <t>U=0,01mm/m / Erro Máx: 0,20mm/m</t>
  </si>
  <si>
    <t>66514/25</t>
  </si>
  <si>
    <t>U=0,01mm/m / Erro Máx: 0,21mm/m</t>
  </si>
  <si>
    <t>Nível de Precisão</t>
  </si>
  <si>
    <t>200 mm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</si>
  <si>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</si>
  <si>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</si>
  <si>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</si>
  <si>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</si>
  <si>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</si>
  <si>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</si>
  <si>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</si>
  <si>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Nível Óptico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</si>
  <si>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</si>
  <si>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</si>
  <si>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</si>
  <si>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</si>
  <si>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</si>
  <si>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</si>
  <si>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</si>
  <si>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</si>
  <si>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</si>
  <si>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</si>
  <si>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</si>
  <si>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Paquímetro Universal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</si>
  <si>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</si>
  <si>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</si>
  <si>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</si>
  <si>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</si>
  <si>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</si>
  <si>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</si>
  <si>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</si>
  <si>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</si>
  <si>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0-150x 0,02mm</t>
  </si>
  <si>
    <t>65183/25</t>
  </si>
  <si>
    <t>530-10Br</t>
  </si>
  <si>
    <t>0-150x 0,05mm</t>
  </si>
  <si>
    <t>0,05mm</t>
  </si>
  <si>
    <t>65464/25</t>
  </si>
  <si>
    <t>Erro: -0,01mm / U=0,01mm</t>
  </si>
  <si>
    <t>64071/25</t>
  </si>
  <si>
    <t>Paquímetro Bico</t>
  </si>
  <si>
    <t>0-300x 0,05mm</t>
  </si>
  <si>
    <t>Erro Máx: -0,01mm / U=0,01mm</t>
  </si>
  <si>
    <t>Padrão Escalonado Mitutoyo.</t>
  </si>
  <si>
    <t>65182/25</t>
  </si>
  <si>
    <t>U=0,01mm / Erro: 0,01 mm</t>
  </si>
  <si>
    <t>Paquímetro Digital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</si>
  <si>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</si>
  <si>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</si>
  <si>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</si>
  <si>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</si>
  <si>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</si>
  <si>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</si>
  <si>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</si>
  <si>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</si>
  <si>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</si>
  <si>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</si>
  <si>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0 - 200 mm</t>
  </si>
  <si>
    <t>62868/25</t>
  </si>
  <si>
    <t>63150/25</t>
  </si>
  <si>
    <t>U=0,01mm / Erro: -0,01 mm</t>
  </si>
  <si>
    <t>Paquímetro Profundidade</t>
  </si>
  <si>
    <t>527-203</t>
  </si>
  <si>
    <t>0-300mm</t>
  </si>
  <si>
    <t>65176/25</t>
  </si>
  <si>
    <t>Termômetro Laser IR</t>
  </si>
  <si>
    <t>CEM</t>
  </si>
  <si>
    <t>DT-8866</t>
  </si>
  <si>
    <t>Não especificado</t>
  </si>
  <si>
    <t>19582-4HI</t>
  </si>
  <si>
    <t>U = 1,73 °C / Erro Máximo: -0,4 °C</t>
  </si>
  <si>
    <t>Termômetro de alta precisão ABSI, Calibrador de Corpo Negro CEM.</t>
  </si>
  <si>
    <t>Termômetro Infravermelho</t>
  </si>
  <si>
    <t>NJTY</t>
  </si>
  <si>
    <t>T 400</t>
  </si>
  <si>
    <t>-50 a 400 °C</t>
  </si>
  <si>
    <t>25424-38</t>
  </si>
  <si>
    <t>U = 0,5 °C / Erro: 0,1 °C</t>
  </si>
  <si>
    <t>Medidor de temperatura digital LB02.</t>
  </si>
  <si>
    <t>65699/25</t>
  </si>
  <si>
    <t>Relógio Comparador</t>
  </si>
  <si>
    <t>0 - 10 mm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</si>
  <si>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</si>
  <si>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</si>
  <si>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</si>
  <si>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</si>
  <si>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</si>
  <si>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</si>
  <si>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</si>
  <si>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</si>
  <si>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</si>
  <si>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</si>
  <si>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</si>
  <si>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</si>
  <si>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</si>
  <si>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</si>
  <si>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</si>
  <si>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</si>
  <si>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0-10mm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</si>
  <si>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</si>
  <si>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</si>
  <si>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</si>
  <si>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</si>
  <si>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</si>
  <si>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</si>
  <si>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</si>
  <si>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0-10mm x 0,01mm</t>
  </si>
  <si>
    <t>63163/25</t>
  </si>
  <si>
    <t>U=0,003mm / Diferença máx.: 2µm</t>
  </si>
  <si>
    <t>0-10x 0,01mm</t>
  </si>
  <si>
    <t>65698/25</t>
  </si>
  <si>
    <t>Erro Máx: -9µm / U=0,003mm</t>
  </si>
  <si>
    <t>Rugosímetro</t>
  </si>
  <si>
    <t>TIME</t>
  </si>
  <si>
    <t>TR200</t>
  </si>
  <si>
    <t>Ra/Rz/Rmax</t>
  </si>
  <si>
    <t>0,01 µm</t>
  </si>
  <si>
    <t>0009/25-03</t>
  </si>
  <si>
    <t>U=±0,02 µm / Erro: -0,01µm</t>
  </si>
  <si>
    <t>Padrão de Rugosidade (Mahr).</t>
  </si>
  <si>
    <t>TR100</t>
  </si>
  <si>
    <t>Ra/Rz</t>
  </si>
  <si>
    <t>0009/25-02</t>
  </si>
  <si>
    <t>U=0,02 µm / Erro: 0,00 µm</t>
  </si>
  <si>
    <t>Medidor de Rugosidade</t>
  </si>
  <si>
    <t>ELCOMETER</t>
  </si>
  <si>
    <t>E123A-M</t>
  </si>
  <si>
    <t>0,001-10</t>
  </si>
  <si>
    <t>62208/25</t>
  </si>
  <si>
    <t>Erro: 1µm / U=0,003mm</t>
  </si>
  <si>
    <t>MEDTEC</t>
  </si>
  <si>
    <t>62207/25</t>
  </si>
  <si>
    <t>Erro: 0 / U=0,003mm</t>
  </si>
  <si>
    <t>Termohigrômetro Digital</t>
  </si>
  <si>
    <t>TEMPERATURE</t>
  </si>
  <si>
    <t>HTC1</t>
  </si>
  <si>
    <t>-10°C a 50°C</t>
  </si>
  <si>
    <t>65447/25</t>
  </si>
  <si>
    <t>Erro: -2,9°C / U=0,31°C</t>
  </si>
  <si>
    <t>Controlador de Temperatura (CEIME).</t>
  </si>
  <si>
    <t>65448/25</t>
  </si>
  <si>
    <t>Erro: -1,6°C / U=0,31°C</t>
  </si>
  <si>
    <t>Termohigrometro Digital</t>
  </si>
  <si>
    <t>Exbom</t>
  </si>
  <si>
    <t>Temp/Umid</t>
  </si>
  <si>
    <t>0,1°C / 1%</t>
  </si>
  <si>
    <t>Temp U=0,6°C, Erro -0,5°C / Umid U=2%, Erro -2%</t>
  </si>
  <si>
    <t>Termohigrometro Digital (L-1038).</t>
  </si>
  <si>
    <t>Temp: -10 a 50°C / Umid: 0 a 90%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</si>
  <si>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</si>
  <si>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</si>
  <si>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</si>
  <si>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</si>
  <si>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</si>
  <si>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</si>
  <si>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</si>
  <si>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</si>
  <si>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</si>
  <si>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</si>
  <si>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-50°C a 70°C</t>
  </si>
  <si>
    <t>65177/25</t>
  </si>
  <si>
    <t>Erro: -0,5°C / U=0,31°C</t>
  </si>
  <si>
    <t>65178/25</t>
  </si>
  <si>
    <t>Termômetro Bi-metálico</t>
  </si>
  <si>
    <t>ASTA</t>
  </si>
  <si>
    <t>0° a 650°C</t>
  </si>
  <si>
    <t>61796/24</t>
  </si>
  <si>
    <t>U=1,5°C / Erro Máximo: +0,8°C</t>
  </si>
  <si>
    <t>Termômetro padrão digital termopar tipo J (IOPE).</t>
  </si>
  <si>
    <t>50°a 800° C</t>
  </si>
  <si>
    <t>65186/25</t>
  </si>
  <si>
    <t>Erro: -0,9°C / U=1,5°C</t>
  </si>
  <si>
    <t>Termômetro Padrão Digital (IOPE).</t>
  </si>
  <si>
    <t>65185/25</t>
  </si>
  <si>
    <t>Erro: -1,0°C / U=1,5°C</t>
  </si>
  <si>
    <t>Terrômetro Digital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</si>
  <si>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</si>
  <si>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</si>
  <si>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</si>
  <si>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</si>
  <si>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</si>
  <si>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</si>
  <si>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40, 400, 4k Ω</t>
  </si>
  <si>
    <t>20250157/HBS000653</t>
  </si>
  <si>
    <t>Erro: 2,1 Ω / U=0,6 Ω</t>
  </si>
  <si>
    <t>Multicalibrador Cappo, Multímetro Padrão Fluke.</t>
  </si>
  <si>
    <t>Torquímetro de Estalo</t>
  </si>
  <si>
    <t>GEDORE</t>
  </si>
  <si>
    <t>750-2000 Nm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</si>
  <si>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</si>
  <si>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</si>
  <si>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</si>
  <si>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</si>
  <si>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</si>
  <si>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</si>
  <si>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Torquímetro Analógico</t>
  </si>
  <si>
    <t>Dremo meter</t>
  </si>
  <si>
    <t>750-2000 N.m</t>
  </si>
  <si>
    <t>ADH004/2025</t>
  </si>
  <si>
    <t>Erro Máx: 18,6 N.m / U≈3,1 N.m</t>
  </si>
  <si>
    <t>Calibrador de Torque (PSE-0014).</t>
  </si>
  <si>
    <t>750 a 2000 N.m</t>
  </si>
  <si>
    <t>ADH001/2025</t>
  </si>
  <si>
    <t>U ≈ 3,1 N.m / Erro: 19,1 N.m</t>
  </si>
  <si>
    <t>Calibrador de Torque PSE-0014.</t>
  </si>
  <si>
    <t>ADH002/2025</t>
  </si>
  <si>
    <t>Erro Máx: 22,8 N.m / U≈3,0 N.m</t>
  </si>
  <si>
    <t>20-200N.m.</t>
  </si>
  <si>
    <t>0,05Nm</t>
  </si>
  <si>
    <t>64287/25</t>
  </si>
  <si>
    <t>Desvio: 1,37% / U=1,5%</t>
  </si>
  <si>
    <t>Calibrador de Torque Digital (WINCEL).</t>
  </si>
  <si>
    <t>ENGIOTORQUE</t>
  </si>
  <si>
    <t>1-25 Nm</t>
  </si>
  <si>
    <t>0,2 Nm</t>
  </si>
  <si>
    <t>64283/25</t>
  </si>
  <si>
    <t>U=1,5% / Desvio: 2,91%</t>
  </si>
  <si>
    <t>64050/25</t>
  </si>
  <si>
    <t>Erro: -660 g / Incerteza: 10 g</t>
  </si>
  <si>
    <t>WAFT</t>
  </si>
  <si>
    <t>10 - 150 Nm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</si>
  <si>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</si>
  <si>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</si>
  <si>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</si>
  <si>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</si>
  <si>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</si>
  <si>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</si>
  <si>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20-200 Nm</t>
  </si>
  <si>
    <t>64286/25</t>
  </si>
  <si>
    <t>U=1,5% / Desvio: 1,26%</t>
  </si>
  <si>
    <t>4550-75</t>
  </si>
  <si>
    <t>150-750 Nm</t>
  </si>
  <si>
    <t>65157/25</t>
  </si>
  <si>
    <t>U=1,5% / Desvio: 1,9%</t>
  </si>
  <si>
    <t>KING TONY</t>
  </si>
  <si>
    <t>34662-3DG</t>
  </si>
  <si>
    <t>200-1000 Nm</t>
  </si>
  <si>
    <t>65697/25</t>
  </si>
  <si>
    <t>Desvio Máx: 1,49% / U=1,5%</t>
  </si>
  <si>
    <t>TORCOFIX-FS</t>
  </si>
  <si>
    <t>41001-01</t>
  </si>
  <si>
    <t>20 - 100 N.m</t>
  </si>
  <si>
    <t>65156/25</t>
  </si>
  <si>
    <t>U=1,5% / Erro: 1,89%</t>
  </si>
  <si>
    <t>NOL</t>
  </si>
  <si>
    <t>70-350Nm</t>
  </si>
  <si>
    <t>66523/25</t>
  </si>
  <si>
    <t>U=1,5% / Desvio: 0,90%</t>
  </si>
  <si>
    <t>Transferidor de Graus</t>
  </si>
  <si>
    <t>PROTACTOR</t>
  </si>
  <si>
    <t>0 - 180°</t>
  </si>
  <si>
    <t>1°</t>
  </si>
  <si>
    <t>61778/24</t>
  </si>
  <si>
    <t>Erro: 9' / U=30"</t>
  </si>
  <si>
    <t>Desempeno, Esquadro, Transferidor Digital.</t>
  </si>
  <si>
    <t>0-180°x1°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</si>
  <si>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</si>
  <si>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</si>
  <si>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</si>
  <si>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</si>
  <si>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</si>
  <si>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</si>
  <si>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</si>
  <si>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</si>
  <si>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</si>
  <si>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</si>
  <si>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</si>
  <si>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0 - 10Kg</t>
  </si>
  <si>
    <t>66516/25</t>
  </si>
  <si>
    <t>Erro Máx: -1,073 Kg / U=1,083 g</t>
  </si>
  <si>
    <t>Trena de Aço</t>
  </si>
  <si>
    <t>L510CMES</t>
  </si>
  <si>
    <t>0-3000 mm</t>
  </si>
  <si>
    <t>1,0mm</t>
  </si>
  <si>
    <t>66471/25</t>
  </si>
  <si>
    <t>U=0,20mm / Erro Máx: 0,23mm</t>
  </si>
  <si>
    <t>TS510-30M</t>
  </si>
  <si>
    <t>0-30000x 1,0mm</t>
  </si>
  <si>
    <t>66522/25</t>
  </si>
  <si>
    <t>U=0,30mm / Erro: 0,14mm</t>
  </si>
  <si>
    <t>ROBUST</t>
  </si>
  <si>
    <t>0-5000 mm</t>
  </si>
  <si>
    <t>66520/25</t>
  </si>
  <si>
    <t>Erro: 0,24 mm / U=0,20mm</t>
  </si>
  <si>
    <t>66517/25</t>
  </si>
  <si>
    <t>Erro: 2 g / Incerteza: 0,65 g</t>
  </si>
  <si>
    <t>66518/25</t>
  </si>
  <si>
    <t>Erro: 10 g / Incerteza: 10,65 g</t>
  </si>
  <si>
    <t>0-5000x 1,0mm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</si>
  <si>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</si>
  <si>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</si>
  <si>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</si>
  <si>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</si>
  <si>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</si>
  <si>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</si>
  <si>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</si>
  <si>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Trena a Laser</t>
  </si>
  <si>
    <t>BOSCH</t>
  </si>
  <si>
    <t>GLM50-12LN</t>
  </si>
  <si>
    <t>0 - 50 m</t>
  </si>
  <si>
    <t>65701/25</t>
  </si>
  <si>
    <t>Erro: 0,70 mm / U=0,30mm</t>
  </si>
  <si>
    <t>Máquina de Medição Universal Trimos.</t>
  </si>
  <si>
    <t>DE WALT</t>
  </si>
  <si>
    <t>DWNT77100CN</t>
  </si>
  <si>
    <t>0 - 30000 mm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</si>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</sst>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1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R203" totalsRowShown="0" headerRowDxfId="20" dataDxfId="19" tableBorderDxfId="18">
  <autoFilter ref="A1:R203" xr:uid="{914AFED5-0A41-4DF1-85F8-0E539BCD8F88}"/>
  <tableColumns count="18">
    <tableColumn id="1" xr3:uid="{BCA60223-C1EA-440D-A599-8D6B3DB97A4D}" name="Item" dataDxfId="17">
      <calculatedColumnFormula>ROW(Tabela1[[#This Row],[Toolbox No / Container No]])-1</calculatedColumnFormula>
    </tableColumn>
    <tableColumn id="2" xr3:uid="{A0C43500-5517-4F70-A20D-E954C3FA52A8}" name="Toolbox No / Container No" dataDxfId="16"/>
    <tableColumn id="3" xr3:uid="{1EBDA6DF-6D07-4876-89CB-90AFB6D0E409}" name="TIPO DE INSTRUMENTO" dataDxfId="15"/>
    <tableColumn id="4" xr3:uid="{4ABDA494-E9AB-40AF-A55A-5838981BCA25}" name="MARCA" dataDxfId="14"/>
    <tableColumn id="5" xr3:uid="{30173439-422D-497F-8D82-E79FD5CE4AE8}" name="MODELO" dataDxfId="13"/>
    <tableColumn id="7" xr3:uid="{3215F4DE-F9CD-4557-B7A9-B6B0D1589768}" name="CAPACIDADE" dataDxfId="12" dataCellStyle="Hiperlink"/>
    <tableColumn id="8" xr3:uid="{4E68A16B-DD84-40D3-A5C2-EBD81F1A665F}" name="RESOLUÇÃO" dataDxfId="11"/>
    <tableColumn id="9" xr3:uid="{DEAD498C-5E67-49A0-836A-CDE806CE450A}" name="N.º de série" dataDxfId="10">
      <calculatedColumnFormula>EDATE(Tabela1[[#This Row],[RESOLUÇÃO]],12)</calculatedColumnFormula>
    </tableColumn>
    <tableColumn id="10" xr3:uid="{9A18D4E2-FC0A-449D-AF47-1E61137BC98D}" name="Certificate Number / Calibration Number" dataDxfId="9">
      <calculatedColumnFormula>INT(Tabela1[[#This Row],[N.º de série]]-TODAY())</calculatedColumnFormula>
    </tableColumn>
    <tableColumn id="11" xr3:uid="{637B2AB3-9458-48AB-B7AB-7664D0FCE6CE}" name="Data da calibração/certificação " dataDxfId="8"/>
    <tableColumn id="14" xr3:uid="{2955D6B7-2B72-448C-8490-E7C9FB3AD019}" name="Próxima data de calibração/certificação" dataDxfId="7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6">
      <calculatedColumnFormula>INT(Tabela1[[#This Row],[Próxima data de calibração/certificação]]-TODAY())</calculatedColumnFormula>
    </tableColumn>
    <tableColumn id="12" xr3:uid="{DEC5CB66-C4F9-4C33-9644-0F595E744DC0}" name="INCERTEZA / ERRO MÁXIMO" dataDxfId="5"/>
    <tableColumn id="13" xr3:uid="{E30B293B-C76D-4CB9-BB5A-664A456A8B14}" name="STATUS" dataDxfId="4"/>
    <tableColumn id="15" xr3:uid="{7A3ECA12-CB43-46EA-A576-680396B02574}" name="PADRÕES UTILIZADOS" dataDxfId="3"/>
    <tableColumn id="16" xr3:uid="{79CA23CC-D840-4E2F-9C1E-3F3559DD0DE7}" name="Projeto atual" dataDxfId="2"/>
    <tableColumn id="17" xr3:uid="{D6177C45-25D0-4D31-83E9-B7C9922A9113}" name="ImagemLink" dataDxfId="1"/>
    <tableColumn id="18" xr3:uid="{7256B254-7C10-49A7-AEFA-E0878138A3FF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NzvQtbYFevZLTTbsCGvYTyx9-NnxWXAj/view?usp=drive_link" TargetMode="External"/><Relationship Id="rId191" Type="http://schemas.openxmlformats.org/officeDocument/2006/relationships/hyperlink" Target="https://drive.google.com/file/d/16Zr1s1qukAE345Cdgonf02fN7c67A7ZQ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zNbBWzmWimNsCxHPmooued2Ljt8Y6pcy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Q0K1O85U4OZdMXEb-8KEzA1oEiflJWDB/view?usp=drive_link" TargetMode="External"/><Relationship Id="rId192" Type="http://schemas.openxmlformats.org/officeDocument/2006/relationships/hyperlink" Target="https://drive.google.com/file/d/15G-QbSEVgSj4ey2J_3MBIkmmbMu3LZ2d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lggfIZtWIU58MW5zF4hlffFAhNt0JB9J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UvRknE-RKH-NadUVBm5BFhlPJFUwWOLM/view?usp=drive_link" TargetMode="External"/><Relationship Id="rId193" Type="http://schemas.openxmlformats.org/officeDocument/2006/relationships/hyperlink" Target="https://drive.google.com/file/d/1LLKun1dnOn5RvND4yIJmJ1Z0QRV2Dl8B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sIrQ6a5W4cfb2UnEruGQZN5gF4gTISza/view?usp=drive_link" TargetMode="External"/><Relationship Id="rId183" Type="http://schemas.openxmlformats.org/officeDocument/2006/relationships/hyperlink" Target="https://drive.google.com/file/d/1Zz_is68Cu72eAi8IDhpne-fIjxr0ptCw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ST4m6g7G5RUIQJQGFd2si5UeH9lOVB1M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ohQm7tIHQp2a1e65xjLswGv8bAxe4SX2/view?usp=drive_link" TargetMode="External"/><Relationship Id="rId194" Type="http://schemas.openxmlformats.org/officeDocument/2006/relationships/hyperlink" Target="https://drive.google.com/file/d/14Vze1zUZFHpKnb0gYQAajfCVVL3z8468/view?usp=drive_link" TargetMode="External"/><Relationship Id="rId199" Type="http://schemas.openxmlformats.org/officeDocument/2006/relationships/hyperlink" Target="https://drive.google.com/file/d/1PSE34h_RZlnskyJU_5s1ueQQvf3qjuHg/view?usp=drive_link" TargetMode="External"/><Relationship Id="rId203" Type="http://schemas.openxmlformats.org/officeDocument/2006/relationships/printerSettings" Target="../printerSettings/printerSettings1.bin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DdS3cngHinCTue-6GqEw6k5HdVeac8Ua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Lbv5WtHyIzbDN2KNoKqeWn5vI5JhipiB/view?usp=drive_link" TargetMode="External"/><Relationship Id="rId184" Type="http://schemas.openxmlformats.org/officeDocument/2006/relationships/hyperlink" Target="https://drive.google.com/file/d/1odDPv32wNnk4Kt6dH6lX5kNKme5AmSh6/view?usp=drive_link" TargetMode="External"/><Relationship Id="rId189" Type="http://schemas.openxmlformats.org/officeDocument/2006/relationships/hyperlink" Target="https://drive.google.com/file/d/1AvUP291sfSXHFzaoFdo7S_Z8L0fDY_Q0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TZP56ggzgfGVvU_xe44L4EY_q1-E4Cob/view?usp=drive_link" TargetMode="External"/><Relationship Id="rId179" Type="http://schemas.openxmlformats.org/officeDocument/2006/relationships/hyperlink" Target="https://drive.google.com/file/d/1f-Bhl0_D7kNl2HBpI4Ly1IiBdpPC4uYr/view?usp=drive_link" TargetMode="External"/><Relationship Id="rId195" Type="http://schemas.openxmlformats.org/officeDocument/2006/relationships/hyperlink" Target="https://drive.google.com/file/d/1YlXZwQeHQVyj12XU5pXO-tCW0eYnD-7h/view?usp=drive_link" TargetMode="External"/><Relationship Id="rId190" Type="http://schemas.openxmlformats.org/officeDocument/2006/relationships/hyperlink" Target="https://drive.google.com/file/d/1MzVJQEFLNRuFdexc8ymzpYpBRCexVsu5/view?usp=drive_link" TargetMode="External"/><Relationship Id="rId204" Type="http://schemas.openxmlformats.org/officeDocument/2006/relationships/table" Target="../tables/table1.xm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P-bLW9jUcI68bAJnxLXIVucI4jwIckhu/view?usp=drive_link" TargetMode="External"/><Relationship Id="rId169" Type="http://schemas.openxmlformats.org/officeDocument/2006/relationships/hyperlink" Target="https://drive.google.com/file/d/1D3MonqQCVJls2Ebc9el5Alc6EmlbNPiE/view?usp=drive_link" TargetMode="External"/><Relationship Id="rId185" Type="http://schemas.openxmlformats.org/officeDocument/2006/relationships/hyperlink" Target="https://drive.google.com/file/d/1s8kBUTOYHtTWySISKax6ueTa2cYQpEg-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_0jSmg8MRFPhdYMynxlvQ8IvRBrl_IZe/view?usp=drive_link" TargetMode="Externa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3CQekC2IhUXLvy6XEAU98NkdiImMxgPT/view?usp=drive_link" TargetMode="External"/><Relationship Id="rId196" Type="http://schemas.openxmlformats.org/officeDocument/2006/relationships/hyperlink" Target="https://drive.google.com/file/d/1wZyrZ30aVJNmka3eC1VNhIWxhTnaK9WR/view?usp=drive_link" TargetMode="External"/><Relationship Id="rId200" Type="http://schemas.openxmlformats.org/officeDocument/2006/relationships/hyperlink" Target="https://drive.google.com/file/d/1htgFy4HYmgyJdrzCv8UPwuPktadA0XU9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N6I7iu9ME2eXOxbG2wJO1TsLxmLIVaFo/view?usp=drive_link" TargetMode="External"/><Relationship Id="rId186" Type="http://schemas.openxmlformats.org/officeDocument/2006/relationships/hyperlink" Target="https://drive.google.com/file/d/1Pfa0VKTcfIeKJlENWuc3G106Z1hJ-xpz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4cgdDQMrdRWkC-nuF1qeZwrsf6zpXuBI/view?usp=drive_link" TargetMode="External"/><Relationship Id="rId197" Type="http://schemas.openxmlformats.org/officeDocument/2006/relationships/hyperlink" Target="https://drive.google.com/file/d/1fJA_iOtRAMC7d_4kit6lKwjcuMzhMAwb/view?usp=drive_link" TargetMode="External"/><Relationship Id="rId201" Type="http://schemas.openxmlformats.org/officeDocument/2006/relationships/hyperlink" Target="https://drive.google.com/file/d/1ubAi8bISQFgdvQDjKdKjHnP4dvrLsVZS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K35EWOSJZYJT08xOL6A0bs8W6yV3QVyQ/view?usp=drive_link" TargetMode="External"/><Relationship Id="rId187" Type="http://schemas.openxmlformats.org/officeDocument/2006/relationships/hyperlink" Target="https://drive.google.com/file/d/1CcVHr4hLxOG9PWd8mnuuWpCpWNTpybYJ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RYuip9el_i1gUG0gQn8uBz1Its_NDLId/view?usp=drive_link" TargetMode="External"/><Relationship Id="rId198" Type="http://schemas.openxmlformats.org/officeDocument/2006/relationships/hyperlink" Target="https://drive.google.com/file/d/1buVZ1qpnwUiR5koROWPWm89ExZhorpKK/view?usp=drive_link" TargetMode="External"/><Relationship Id="rId202" Type="http://schemas.openxmlformats.org/officeDocument/2006/relationships/hyperlink" Target="https://drive.google.com/file/d/1t4JfChLnd8E39pZ18CnBjAO3YGXwoQbf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wm25nX8fKDMGoW5k2r_czRT3saf93Dau/view?usp=drive_link" TargetMode="External"/><Relationship Id="rId188" Type="http://schemas.openxmlformats.org/officeDocument/2006/relationships/hyperlink" Target="https://drive.google.com/file/d/10TXd_5qz_3iFkntU3hWLKvShMdKx-M_F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R203"/>
  <sheetViews>
    <sheetView tabSelected="1" topLeftCell="D1" workbookViewId="0">
      <pane ySplit="1" topLeftCell="A167" activePane="bottomLeft" state="frozen"/>
      <selection pane="bottomLeft" activeCell="R203" sqref="R203"/>
    </sheetView>
  </sheetViews>
  <sheetFormatPr defaultColWidth="8.85546875" defaultRowHeight="11.25" x14ac:dyDescent="0.25"/>
  <cols>
    <col min="1" max="1" width="8.85546875" style="7"/>
    <col min="2" max="2" width="10" style="7" customWidth="1"/>
    <col min="3" max="3" width="41.140625" style="2" customWidth="1"/>
    <col min="4" max="4" width="18.5703125" style="7" customWidth="1"/>
    <col min="5" max="5" width="10" style="7" customWidth="1"/>
    <col min="6" max="6" width="28.28515625" style="2" customWidth="1"/>
    <col min="7" max="7" width="23.5703125" style="7" customWidth="1"/>
    <col min="8" max="8" width="22.7109375" style="7" customWidth="1"/>
    <col min="9" max="9" width="22.85546875" style="7" customWidth="1"/>
    <col min="10" max="10" width="29.42578125" style="7" bestFit="1" customWidth="1"/>
    <col min="11" max="11" width="29.42578125" style="7" customWidth="1"/>
    <col min="12" max="12" width="26.7109375" style="7" customWidth="1"/>
    <col min="13" max="16384" width="8.85546875" style="7"/>
  </cols>
  <sheetData>
    <row r="1" spans="1:18" ht="27.6" customHeight="1" x14ac:dyDescent="0.25">
      <c r="A1" s="10" t="s">
        <v>0</v>
      </c>
      <c r="B1" s="11" t="s">
        <v>1</v>
      </c>
      <c r="C1" s="11" t="s">
        <v>571</v>
      </c>
      <c r="D1" s="11" t="s">
        <v>572</v>
      </c>
      <c r="E1" s="11" t="s">
        <v>573</v>
      </c>
      <c r="F1" s="11" t="s">
        <v>574</v>
      </c>
      <c r="G1" s="11" t="s">
        <v>575</v>
      </c>
      <c r="H1" s="11" t="s">
        <v>2</v>
      </c>
      <c r="I1" s="11" t="s">
        <v>3</v>
      </c>
      <c r="J1" s="11" t="s">
        <v>4</v>
      </c>
      <c r="K1" s="11" t="s">
        <v>5</v>
      </c>
      <c r="L1" s="11" t="s">
        <v>6</v>
      </c>
      <c r="M1" s="17" t="s">
        <v>576</v>
      </c>
      <c r="N1" s="8" t="s">
        <v>577</v>
      </c>
      <c r="O1" s="8" t="s">
        <v>578</v>
      </c>
      <c r="P1" s="8" t="s">
        <v>7</v>
      </c>
      <c r="Q1" s="17" t="s">
        <v>497</v>
      </c>
      <c r="R1" s="18" t="s">
        <v>309</v>
      </c>
    </row>
    <row r="2" spans="1:18" x14ac:dyDescent="0.25">
      <c r="A2" s="10">
        <f>ROW(Tabela1[[#This Row],[Toolbox No / Container No]])-1</f>
        <v>1</v>
      </c>
      <c r="B2" s="10" t="s">
        <v>183</v>
      </c>
      <c r="C2" s="10" t="s">
        <v>579</v>
      </c>
      <c r="D2" s="10" t="s">
        <v>580</v>
      </c>
      <c r="E2" s="10" t="s">
        <v>581</v>
      </c>
      <c r="F2" s="10" t="s">
        <v>582</v>
      </c>
      <c r="G2" s="10" t="s">
        <v>583</v>
      </c>
      <c r="H2" s="10" t="s">
        <v>160</v>
      </c>
      <c r="I2" s="4" t="s">
        <v>584</v>
      </c>
      <c r="J2" s="12">
        <v>45665.888194444444</v>
      </c>
      <c r="K2" s="13">
        <f>EDATE(Tabela1[[#This Row],[Data da calibração/certificação ]],12)</f>
        <v>46030</v>
      </c>
      <c r="L2" s="14">
        <f ca="1">INT(Tabela1[[#This Row],[Próxima data de calibração/certificação]]-TODAY())</f>
        <v>100</v>
      </c>
      <c r="M2" s="16" t="s">
        <v>585</v>
      </c>
      <c r="N2" s="16" t="s">
        <v>586</v>
      </c>
      <c r="O2" s="16" t="s">
        <v>587</v>
      </c>
      <c r="P2" s="9" t="s">
        <v>10</v>
      </c>
      <c r="Q2" s="16" t="s">
        <v>500</v>
      </c>
      <c r="R2" s="16" t="s">
        <v>310</v>
      </c>
    </row>
    <row r="3" spans="1:18" x14ac:dyDescent="0.25">
      <c r="A3" s="10">
        <f>ROW(Tabela1[[#This Row],[Toolbox No / Container No]])-1</f>
        <v>2</v>
      </c>
      <c r="B3" s="10" t="s">
        <v>159</v>
      </c>
      <c r="C3" s="10" t="s">
        <v>588</v>
      </c>
      <c r="D3" s="10" t="s">
        <v>580</v>
      </c>
      <c r="E3" s="10" t="s">
        <v>581</v>
      </c>
      <c r="F3" s="10" t="s">
        <v>582</v>
      </c>
      <c r="G3" s="10" t="s">
        <v>583</v>
      </c>
      <c r="H3" s="10" t="s">
        <v>160</v>
      </c>
      <c r="I3" s="4" t="s">
        <v>589</v>
      </c>
      <c r="J3" s="12">
        <v>45665.635416666664</v>
      </c>
      <c r="K3" s="13">
        <f>EDATE(Tabela1[[#This Row],[Data da calibração/certificação ]],12)</f>
        <v>46030</v>
      </c>
      <c r="L3" s="14">
        <f ca="1">INT(Tabela1[[#This Row],[Próxima data de calibração/certificação]]-TODAY())</f>
        <v>100</v>
      </c>
      <c r="M3" s="16" t="s">
        <v>590</v>
      </c>
      <c r="N3" s="16" t="s">
        <v>591</v>
      </c>
      <c r="O3" s="16" t="s">
        <v>592</v>
      </c>
      <c r="P3" s="9" t="s">
        <v>10</v>
      </c>
      <c r="Q3" s="16" t="s">
        <v>500</v>
      </c>
      <c r="R3" s="16" t="s">
        <v>311</v>
      </c>
    </row>
    <row r="4" spans="1:18" x14ac:dyDescent="0.25">
      <c r="A4" s="10">
        <f>ROW(Tabela1[[#This Row],[Toolbox No / Container No]])-1</f>
        <v>3</v>
      </c>
      <c r="B4" s="10" t="s">
        <v>43</v>
      </c>
      <c r="C4" s="10" t="s">
        <v>593</v>
      </c>
      <c r="D4" s="10" t="s">
        <v>594</v>
      </c>
      <c r="E4" s="10">
        <v>305</v>
      </c>
      <c r="F4" s="10" t="s">
        <v>595</v>
      </c>
      <c r="G4" s="10" t="s">
        <v>583</v>
      </c>
      <c r="H4" s="10" t="s">
        <v>44</v>
      </c>
      <c r="I4" s="4" t="s">
        <v>596</v>
      </c>
      <c r="J4" s="12">
        <v>45728.470833333333</v>
      </c>
      <c r="K4" s="13">
        <f>EDATE(Tabela1[[#This Row],[Data da calibração/certificação ]],12)</f>
        <v>46093</v>
      </c>
      <c r="L4" s="14">
        <f ca="1">INT(Tabela1[[#This Row],[Próxima data de calibração/certificação]]-TODAY())</f>
        <v>163</v>
      </c>
      <c r="M4" s="16" t="s">
        <v>597</v>
      </c>
      <c r="N4" s="16" t="s">
        <v>586</v>
      </c>
      <c r="O4" s="16" t="s">
        <v>587</v>
      </c>
      <c r="P4" s="9" t="s">
        <v>10</v>
      </c>
      <c r="Q4" s="16" t="s">
        <v>501</v>
      </c>
      <c r="R4" s="16" t="s">
        <v>312</v>
      </c>
    </row>
    <row r="5" spans="1:18" x14ac:dyDescent="0.25">
      <c r="A5" s="10">
        <f>ROW(Tabela1[[#This Row],[Toolbox No / Container No]])-1</f>
        <v>4</v>
      </c>
      <c r="B5" s="10" t="s">
        <v>175</v>
      </c>
      <c r="C5" s="10" t="s">
        <v>579</v>
      </c>
      <c r="D5" s="10" t="s">
        <v>594</v>
      </c>
      <c r="E5" s="10">
        <v>305</v>
      </c>
      <c r="F5" s="10" t="s">
        <v>582</v>
      </c>
      <c r="G5" s="10" t="s">
        <v>583</v>
      </c>
      <c r="H5" s="10"/>
      <c r="I5" s="4" t="s">
        <v>598</v>
      </c>
      <c r="J5" s="12">
        <v>45776.345138888886</v>
      </c>
      <c r="K5" s="13">
        <f>EDATE(Tabela1[[#This Row],[Data da calibração/certificação ]],12)</f>
        <v>46141</v>
      </c>
      <c r="L5" s="14">
        <f ca="1">INT(Tabela1[[#This Row],[Próxima data de calibração/certificação]]-TODAY())</f>
        <v>211</v>
      </c>
      <c r="M5" s="16" t="s">
        <v>599</v>
      </c>
      <c r="N5" s="16" t="s">
        <v>586</v>
      </c>
      <c r="O5" s="16" t="s">
        <v>587</v>
      </c>
      <c r="P5" s="9" t="s">
        <v>10</v>
      </c>
      <c r="Q5" s="16" t="s">
        <v>501</v>
      </c>
      <c r="R5" s="16" t="s">
        <v>313</v>
      </c>
    </row>
    <row r="6" spans="1:18" x14ac:dyDescent="0.25">
      <c r="A6" s="10">
        <f>ROW(Tabela1[[#This Row],[Toolbox No / Container No]])-1</f>
        <v>5</v>
      </c>
      <c r="B6" s="10" t="s">
        <v>89</v>
      </c>
      <c r="C6" s="10" t="s">
        <v>579</v>
      </c>
      <c r="D6" s="10" t="s">
        <v>580</v>
      </c>
      <c r="E6" s="10" t="s">
        <v>600</v>
      </c>
      <c r="F6" s="10" t="s">
        <v>595</v>
      </c>
      <c r="G6" s="10" t="s">
        <v>583</v>
      </c>
      <c r="H6" s="10"/>
      <c r="I6" s="4" t="s">
        <v>601</v>
      </c>
      <c r="J6" s="12">
        <v>45842.570138888892</v>
      </c>
      <c r="K6" s="13">
        <f>EDATE(Tabela1[[#This Row],[Data da calibração/certificação ]],12)</f>
        <v>46207</v>
      </c>
      <c r="L6" s="14">
        <f ca="1">INT(Tabela1[[#This Row],[Próxima data de calibração/certificação]]-TODAY())</f>
        <v>277</v>
      </c>
      <c r="M6" s="16" t="s">
        <v>602</v>
      </c>
      <c r="N6" s="16" t="s">
        <v>591</v>
      </c>
      <c r="O6" s="16" t="s">
        <v>587</v>
      </c>
      <c r="P6" s="9" t="s">
        <v>10</v>
      </c>
      <c r="Q6" s="16" t="s">
        <v>502</v>
      </c>
      <c r="R6" s="16" t="s">
        <v>314</v>
      </c>
    </row>
    <row r="7" spans="1:18" x14ac:dyDescent="0.25">
      <c r="A7" s="10">
        <f>ROW(Tabela1[[#This Row],[Toolbox No / Container No]])-1</f>
        <v>6</v>
      </c>
      <c r="B7" s="10" t="s">
        <v>16</v>
      </c>
      <c r="C7" s="10" t="s">
        <v>603</v>
      </c>
      <c r="D7" s="10" t="s">
        <v>604</v>
      </c>
      <c r="E7" s="10" t="s">
        <v>605</v>
      </c>
      <c r="F7" s="10" t="s">
        <v>606</v>
      </c>
      <c r="G7" s="10" t="s">
        <v>607</v>
      </c>
      <c r="H7" s="10" t="s">
        <v>17</v>
      </c>
      <c r="I7" s="4" t="s">
        <v>608</v>
      </c>
      <c r="J7" s="12">
        <v>45859</v>
      </c>
      <c r="K7" s="13">
        <f>EDATE(Tabela1[[#This Row],[Data da calibração/certificação ]],12)</f>
        <v>46224</v>
      </c>
      <c r="L7" s="14">
        <f ca="1">INT(Tabela1[[#This Row],[Próxima data de calibração/certificação]]-TODAY())</f>
        <v>294</v>
      </c>
      <c r="M7" s="16" t="s">
        <v>609</v>
      </c>
      <c r="N7" s="16" t="s">
        <v>586</v>
      </c>
      <c r="O7" s="16" t="s">
        <v>610</v>
      </c>
      <c r="P7" s="9" t="s">
        <v>10</v>
      </c>
      <c r="Q7" s="16" t="s">
        <v>503</v>
      </c>
      <c r="R7" s="16" t="s">
        <v>315</v>
      </c>
    </row>
    <row r="8" spans="1:18" x14ac:dyDescent="0.25">
      <c r="A8" s="10">
        <f>ROW(Tabela1[[#This Row],[Toolbox No / Container No]])-1</f>
        <v>7</v>
      </c>
      <c r="B8" s="10" t="s">
        <v>18</v>
      </c>
      <c r="C8" s="10" t="s">
        <v>603</v>
      </c>
      <c r="D8" s="10" t="s">
        <v>604</v>
      </c>
      <c r="E8" s="10" t="s">
        <v>605</v>
      </c>
      <c r="F8" s="10" t="s">
        <v>611</v>
      </c>
      <c r="G8" s="10" t="s">
        <v>607</v>
      </c>
      <c r="H8" s="10" t="s">
        <v>19</v>
      </c>
      <c r="I8" s="4" t="s">
        <v>612</v>
      </c>
      <c r="J8" s="12">
        <v>45859</v>
      </c>
      <c r="K8" s="13">
        <f>EDATE(Tabela1[[#This Row],[Data da calibração/certificação ]],12)</f>
        <v>46224</v>
      </c>
      <c r="L8" s="14">
        <f ca="1">INT(Tabela1[[#This Row],[Próxima data de calibração/certificação]]-TODAY())</f>
        <v>294</v>
      </c>
      <c r="M8" s="16" t="s">
        <v>613</v>
      </c>
      <c r="N8" s="16" t="s">
        <v>586</v>
      </c>
      <c r="O8" s="16" t="s">
        <v>610</v>
      </c>
      <c r="P8" s="9" t="s">
        <v>10</v>
      </c>
      <c r="Q8" s="16" t="s">
        <v>503</v>
      </c>
      <c r="R8" s="16" t="s">
        <v>316</v>
      </c>
    </row>
    <row r="9" spans="1:18" x14ac:dyDescent="0.25">
      <c r="A9" s="10">
        <f>ROW(Tabela1[[#This Row],[Toolbox No / Container No]])-1</f>
        <v>8</v>
      </c>
      <c r="B9" s="10" t="s">
        <v>42</v>
      </c>
      <c r="C9" s="10" t="s">
        <v>603</v>
      </c>
      <c r="D9" s="10" t="s">
        <v>614</v>
      </c>
      <c r="E9" s="10" t="s">
        <v>615</v>
      </c>
      <c r="F9" s="10" t="s">
        <v>616</v>
      </c>
      <c r="G9" s="10" t="s">
        <v>617</v>
      </c>
      <c r="H9" s="10"/>
      <c r="I9" s="4" t="s">
        <v>618</v>
      </c>
      <c r="J9" s="12">
        <v>45727.588194444441</v>
      </c>
      <c r="K9" s="13">
        <f>EDATE(Tabela1[[#This Row],[Data da calibração/certificação ]],12)</f>
        <v>46092</v>
      </c>
      <c r="L9" s="14">
        <f ca="1">INT(Tabela1[[#This Row],[Próxima data de calibração/certificação]]-TODAY())</f>
        <v>162</v>
      </c>
      <c r="M9" s="16" t="s">
        <v>619</v>
      </c>
      <c r="N9" s="16" t="s">
        <v>620</v>
      </c>
      <c r="O9" s="16" t="s">
        <v>610</v>
      </c>
      <c r="P9" s="9" t="s">
        <v>10</v>
      </c>
      <c r="Q9" s="16" t="s">
        <v>504</v>
      </c>
      <c r="R9" s="16" t="s">
        <v>317</v>
      </c>
    </row>
    <row r="10" spans="1:18" x14ac:dyDescent="0.25">
      <c r="A10" s="10">
        <f>ROW(Tabela1[[#This Row],[Toolbox No / Container No]])-1</f>
        <v>9</v>
      </c>
      <c r="B10" s="10" t="s">
        <v>204</v>
      </c>
      <c r="C10" s="10" t="s">
        <v>603</v>
      </c>
      <c r="D10" s="10" t="s">
        <v>614</v>
      </c>
      <c r="E10" s="10" t="s">
        <v>615</v>
      </c>
      <c r="F10" s="10" t="s">
        <v>616</v>
      </c>
      <c r="G10" s="10" t="s">
        <v>617</v>
      </c>
      <c r="H10" s="10"/>
      <c r="I10" s="4" t="s">
        <v>621</v>
      </c>
      <c r="J10" s="12">
        <v>45727.470138888886</v>
      </c>
      <c r="K10" s="13">
        <f>EDATE(Tabela1[[#This Row],[Data da calibração/certificação ]],12)</f>
        <v>46092</v>
      </c>
      <c r="L10" s="14">
        <f ca="1">INT(Tabela1[[#This Row],[Próxima data de calibração/certificação]]-TODAY())</f>
        <v>162</v>
      </c>
      <c r="M10" s="16" t="s">
        <v>622</v>
      </c>
      <c r="N10" s="16" t="s">
        <v>620</v>
      </c>
      <c r="O10" s="16" t="s">
        <v>610</v>
      </c>
      <c r="P10" s="9" t="s">
        <v>10</v>
      </c>
      <c r="Q10" s="16" t="s">
        <v>504</v>
      </c>
      <c r="R10" s="16" t="s">
        <v>318</v>
      </c>
    </row>
    <row r="11" spans="1:18" x14ac:dyDescent="0.25">
      <c r="A11" s="10">
        <f>ROW(Tabela1[[#This Row],[Toolbox No / Container No]])-1</f>
        <v>10</v>
      </c>
      <c r="B11" s="10" t="s">
        <v>141</v>
      </c>
      <c r="C11" s="10" t="s">
        <v>623</v>
      </c>
      <c r="D11" s="10" t="s">
        <v>624</v>
      </c>
      <c r="E11" s="10" t="s">
        <v>625</v>
      </c>
      <c r="F11" s="10" t="s">
        <v>626</v>
      </c>
      <c r="G11" s="10" t="s">
        <v>627</v>
      </c>
      <c r="H11" s="10"/>
      <c r="I11" s="4" t="s">
        <v>628</v>
      </c>
      <c r="J11" s="12">
        <v>45727.434027777781</v>
      </c>
      <c r="K11" s="13">
        <f>EDATE(Tabela1[[#This Row],[Data da calibração/certificação ]],12)</f>
        <v>46092</v>
      </c>
      <c r="L11" s="14">
        <f ca="1">INT(Tabela1[[#This Row],[Próxima data de calibração/certificação]]-TODAY())</f>
        <v>162</v>
      </c>
      <c r="M11" s="16" t="s">
        <v>629</v>
      </c>
      <c r="N11" s="16" t="s">
        <v>586</v>
      </c>
      <c r="O11" s="16" t="s">
        <v>610</v>
      </c>
      <c r="P11" s="9" t="s">
        <v>10</v>
      </c>
      <c r="Q11" s="16" t="s">
        <v>505</v>
      </c>
      <c r="R11" s="16" t="s">
        <v>319</v>
      </c>
    </row>
    <row r="12" spans="1:18" ht="15" x14ac:dyDescent="0.25">
      <c r="A12" s="10">
        <f>ROW(Tabela1[[#This Row],[Toolbox No / Container No]])-1</f>
        <v>11</v>
      </c>
      <c r="B12" s="15" t="s">
        <v>147</v>
      </c>
      <c r="C12" s="15" t="s">
        <v>630</v>
      </c>
      <c r="D12" s="15" t="s">
        <v>631</v>
      </c>
      <c r="E12" s="15" t="s">
        <v>632</v>
      </c>
      <c r="F12" s="15" t="s">
        <v>633</v>
      </c>
      <c r="G12" s="15" t="s">
        <v>634</v>
      </c>
      <c r="H12" s="15" t="s">
        <v>148</v>
      </c>
      <c r="I12" s="20">
        <v>10059510030</v>
      </c>
      <c r="J12" s="13">
        <v>45772.529861111114</v>
      </c>
      <c r="K12" s="13">
        <f>EDATE(Tabela1[[#This Row],[Data da calibração/certificação ]],12)</f>
        <v>46137</v>
      </c>
      <c r="L12" s="14">
        <f ca="1">INT(Tabela1[[#This Row],[Próxima data de calibração/certificação]]-TODAY())</f>
        <v>207</v>
      </c>
      <c r="M12" s="16" t="s">
        <v>635</v>
      </c>
      <c r="N12" s="16" t="s">
        <v>586</v>
      </c>
      <c r="O12" s="16" t="s">
        <v>636</v>
      </c>
      <c r="P12" s="9" t="s">
        <v>10</v>
      </c>
      <c r="Q12" s="16" t="s">
        <v>506</v>
      </c>
      <c r="R12" s="19" t="s">
        <v>1333</v>
      </c>
    </row>
    <row r="13" spans="1:18" x14ac:dyDescent="0.25">
      <c r="A13" s="10">
        <f>ROW(Tabela1[[#This Row],[Toolbox No / Container No]])-1</f>
        <v>12</v>
      </c>
      <c r="B13" s="15" t="s">
        <v>249</v>
      </c>
      <c r="C13" s="15" t="s">
        <v>637</v>
      </c>
      <c r="D13" s="15" t="s">
        <v>638</v>
      </c>
      <c r="E13" s="15" t="s">
        <v>639</v>
      </c>
      <c r="F13" s="15" t="s">
        <v>640</v>
      </c>
      <c r="G13" s="15" t="s">
        <v>640</v>
      </c>
      <c r="H13" s="15" t="s">
        <v>250</v>
      </c>
      <c r="I13" s="3" t="s">
        <v>641</v>
      </c>
      <c r="J13" s="13">
        <v>45799.381944444445</v>
      </c>
      <c r="K13" s="13">
        <f>EDATE(Tabela1[[#This Row],[Data da calibração/certificação ]],12)</f>
        <v>46164</v>
      </c>
      <c r="L13" s="14">
        <f ca="1">INT(Tabela1[[#This Row],[Próxima data de calibração/certificação]]-TODAY())</f>
        <v>234</v>
      </c>
      <c r="M13" s="16" t="s">
        <v>642</v>
      </c>
      <c r="N13" s="16" t="s">
        <v>586</v>
      </c>
      <c r="O13" s="16" t="s">
        <v>643</v>
      </c>
      <c r="P13" s="9" t="s">
        <v>10</v>
      </c>
      <c r="Q13" s="16" t="s">
        <v>507</v>
      </c>
      <c r="R13" s="16" t="s">
        <v>320</v>
      </c>
    </row>
    <row r="14" spans="1:18" x14ac:dyDescent="0.25">
      <c r="A14" s="10">
        <f>ROW(Tabela1[[#This Row],[Toolbox No / Container No]])-1</f>
        <v>13</v>
      </c>
      <c r="B14" s="10" t="s">
        <v>46</v>
      </c>
      <c r="C14" s="10" t="s">
        <v>644</v>
      </c>
      <c r="D14" s="10" t="s">
        <v>580</v>
      </c>
      <c r="E14" s="10" t="s">
        <v>645</v>
      </c>
      <c r="F14" s="10" t="s">
        <v>646</v>
      </c>
      <c r="G14" s="10" t="s">
        <v>647</v>
      </c>
      <c r="H14" s="10" t="s">
        <v>47</v>
      </c>
      <c r="I14" s="4" t="s">
        <v>46</v>
      </c>
      <c r="J14" s="12">
        <v>45805.55972222222</v>
      </c>
      <c r="K14" s="13">
        <f>EDATE(Tabela1[[#This Row],[Data da calibração/certificação ]],12)</f>
        <v>46170</v>
      </c>
      <c r="L14" s="14">
        <f ca="1">INT(Tabela1[[#This Row],[Próxima data de calibração/certificação]]-TODAY())</f>
        <v>240</v>
      </c>
      <c r="M14" s="16" t="s">
        <v>648</v>
      </c>
      <c r="N14" s="16" t="s">
        <v>586</v>
      </c>
      <c r="O14" s="16" t="s">
        <v>649</v>
      </c>
      <c r="P14" s="9" t="s">
        <v>10</v>
      </c>
      <c r="Q14" s="16" t="s">
        <v>508</v>
      </c>
      <c r="R14" s="16" t="s">
        <v>321</v>
      </c>
    </row>
    <row r="15" spans="1:18" x14ac:dyDescent="0.25">
      <c r="A15" s="10">
        <f>ROW(Tabela1[[#This Row],[Toolbox No / Container No]])-1</f>
        <v>14</v>
      </c>
      <c r="B15" s="15" t="s">
        <v>251</v>
      </c>
      <c r="C15" s="15" t="s">
        <v>644</v>
      </c>
      <c r="D15" s="15" t="s">
        <v>650</v>
      </c>
      <c r="E15" s="15" t="s">
        <v>651</v>
      </c>
      <c r="F15" s="15" t="s">
        <v>652</v>
      </c>
      <c r="G15" s="15" t="s">
        <v>653</v>
      </c>
      <c r="H15" s="15" t="s">
        <v>252</v>
      </c>
      <c r="I15" s="3" t="s">
        <v>654</v>
      </c>
      <c r="J15" s="13">
        <v>45624.385416666664</v>
      </c>
      <c r="K15" s="13">
        <f>EDATE(Tabela1[[#This Row],[Data da calibração/certificação ]],12)</f>
        <v>45989</v>
      </c>
      <c r="L15" s="14">
        <f ca="1">INT(Tabela1[[#This Row],[Próxima data de calibração/certificação]]-TODAY())</f>
        <v>59</v>
      </c>
      <c r="M15" s="16" t="s">
        <v>655</v>
      </c>
      <c r="N15" s="16" t="s">
        <v>586</v>
      </c>
      <c r="O15" s="16" t="s">
        <v>656</v>
      </c>
      <c r="P15" s="9" t="s">
        <v>10</v>
      </c>
      <c r="Q15" s="16" t="s">
        <v>509</v>
      </c>
      <c r="R15" s="16" t="s">
        <v>322</v>
      </c>
    </row>
    <row r="16" spans="1:18" ht="22.5" x14ac:dyDescent="0.25">
      <c r="A16" s="10">
        <f>ROW(Tabela1[[#This Row],[Toolbox No / Container No]])-1</f>
        <v>15</v>
      </c>
      <c r="B16" s="15" t="s">
        <v>143</v>
      </c>
      <c r="C16" s="15" t="s">
        <v>657</v>
      </c>
      <c r="D16" s="15" t="s">
        <v>658</v>
      </c>
      <c r="E16" s="15" t="s">
        <v>659</v>
      </c>
      <c r="F16" s="15" t="s">
        <v>660</v>
      </c>
      <c r="G16" s="15" t="s">
        <v>583</v>
      </c>
      <c r="H16" s="15" t="s">
        <v>144</v>
      </c>
      <c r="I16" s="3" t="s">
        <v>661</v>
      </c>
      <c r="J16" s="13">
        <v>45791.481944444444</v>
      </c>
      <c r="K16" s="13">
        <f>EDATE(Tabela1[[#This Row],[Data da calibração/certificação ]],12)</f>
        <v>46156</v>
      </c>
      <c r="L16" s="14">
        <f ca="1">INT(Tabela1[[#This Row],[Próxima data de calibração/certificação]]-TODAY())</f>
        <v>226</v>
      </c>
      <c r="M16" s="16" t="s">
        <v>662</v>
      </c>
      <c r="N16" s="16" t="s">
        <v>586</v>
      </c>
      <c r="O16" s="16" t="s">
        <v>663</v>
      </c>
      <c r="P16" s="9" t="s">
        <v>10</v>
      </c>
      <c r="Q16" s="16" t="s">
        <v>510</v>
      </c>
      <c r="R16" s="16" t="s">
        <v>323</v>
      </c>
    </row>
    <row r="17" spans="1:18" ht="22.5" x14ac:dyDescent="0.25">
      <c r="A17" s="10">
        <f>ROW(Tabela1[[#This Row],[Toolbox No / Container No]])-1</f>
        <v>16</v>
      </c>
      <c r="B17" s="15" t="s">
        <v>145</v>
      </c>
      <c r="C17" s="15" t="s">
        <v>657</v>
      </c>
      <c r="D17" s="15" t="s">
        <v>658</v>
      </c>
      <c r="E17" s="15" t="s">
        <v>659</v>
      </c>
      <c r="F17" s="15" t="s">
        <v>660</v>
      </c>
      <c r="G17" s="15" t="s">
        <v>583</v>
      </c>
      <c r="H17" s="15" t="s">
        <v>146</v>
      </c>
      <c r="I17" s="3" t="s">
        <v>664</v>
      </c>
      <c r="J17" s="13">
        <v>45791.638194444444</v>
      </c>
      <c r="K17" s="13">
        <f>EDATE(Tabela1[[#This Row],[Data da calibração/certificação ]],12)</f>
        <v>46156</v>
      </c>
      <c r="L17" s="14">
        <f ca="1">INT(Tabela1[[#This Row],[Próxima data de calibração/certificação]]-TODAY())</f>
        <v>226</v>
      </c>
      <c r="M17" s="16" t="s">
        <v>662</v>
      </c>
      <c r="N17" s="16" t="s">
        <v>586</v>
      </c>
      <c r="O17" s="16" t="s">
        <v>663</v>
      </c>
      <c r="P17" s="9" t="s">
        <v>10</v>
      </c>
      <c r="Q17" s="16" t="s">
        <v>510</v>
      </c>
      <c r="R17" s="16" t="s">
        <v>324</v>
      </c>
    </row>
    <row r="18" spans="1:18" x14ac:dyDescent="0.25">
      <c r="A18" s="10">
        <f>ROW(Tabela1[[#This Row],[Toolbox No / Container No]])-1</f>
        <v>17</v>
      </c>
      <c r="B18" s="10" t="s">
        <v>75</v>
      </c>
      <c r="C18" s="10" t="s">
        <v>665</v>
      </c>
      <c r="D18" s="10" t="s">
        <v>666</v>
      </c>
      <c r="E18" s="10" t="s">
        <v>667</v>
      </c>
      <c r="F18" s="10" t="s">
        <v>660</v>
      </c>
      <c r="G18" s="10" t="s">
        <v>583</v>
      </c>
      <c r="H18" s="10" t="s">
        <v>76</v>
      </c>
      <c r="I18" s="4" t="s">
        <v>668</v>
      </c>
      <c r="J18" s="12">
        <v>45841.67291666667</v>
      </c>
      <c r="K18" s="13">
        <f>EDATE(Tabela1[[#This Row],[Data da calibração/certificação ]],12)</f>
        <v>46206</v>
      </c>
      <c r="L18" s="14">
        <f ca="1">INT(Tabela1[[#This Row],[Próxima data de calibração/certificação]]-TODAY())</f>
        <v>276</v>
      </c>
      <c r="M18" s="16" t="s">
        <v>669</v>
      </c>
      <c r="N18" s="16" t="s">
        <v>586</v>
      </c>
      <c r="O18" s="16" t="s">
        <v>670</v>
      </c>
      <c r="P18" s="9" t="s">
        <v>10</v>
      </c>
      <c r="Q18" s="16" t="s">
        <v>510</v>
      </c>
      <c r="R18" s="16" t="s">
        <v>325</v>
      </c>
    </row>
    <row r="19" spans="1:18" x14ac:dyDescent="0.25">
      <c r="A19" s="10">
        <f>ROW(Tabela1[[#This Row],[Toolbox No / Container No]])-1</f>
        <v>18</v>
      </c>
      <c r="B19" s="15" t="s">
        <v>157</v>
      </c>
      <c r="C19" s="15" t="s">
        <v>665</v>
      </c>
      <c r="D19" s="15" t="s">
        <v>666</v>
      </c>
      <c r="E19" s="15" t="s">
        <v>667</v>
      </c>
      <c r="F19" s="15" t="s">
        <v>660</v>
      </c>
      <c r="G19" s="15" t="s">
        <v>583</v>
      </c>
      <c r="H19" s="15" t="s">
        <v>158</v>
      </c>
      <c r="I19" s="1" t="s">
        <v>671</v>
      </c>
      <c r="J19" s="13">
        <v>45835.673611111109</v>
      </c>
      <c r="K19" s="13">
        <f>EDATE(Tabela1[[#This Row],[Data da calibração/certificação ]],12)</f>
        <v>46200</v>
      </c>
      <c r="L19" s="14">
        <f ca="1">INT(Tabela1[[#This Row],[Próxima data de calibração/certificação]]-TODAY())</f>
        <v>270</v>
      </c>
      <c r="M19" s="16" t="s">
        <v>672</v>
      </c>
      <c r="N19" s="16" t="s">
        <v>586</v>
      </c>
      <c r="O19" s="16" t="s">
        <v>673</v>
      </c>
      <c r="P19" s="9" t="s">
        <v>10</v>
      </c>
      <c r="Q19" s="16" t="s">
        <v>510</v>
      </c>
      <c r="R19" s="16" t="s">
        <v>326</v>
      </c>
    </row>
    <row r="20" spans="1:18" x14ac:dyDescent="0.25">
      <c r="A20" s="10">
        <f>ROW(Tabela1[[#This Row],[Toolbox No / Container No]])-1</f>
        <v>19</v>
      </c>
      <c r="B20" s="10" t="s">
        <v>205</v>
      </c>
      <c r="C20" s="10" t="s">
        <v>665</v>
      </c>
      <c r="D20" s="10" t="s">
        <v>666</v>
      </c>
      <c r="E20" s="10" t="s">
        <v>667</v>
      </c>
      <c r="F20" s="10" t="s">
        <v>660</v>
      </c>
      <c r="G20" s="10" t="s">
        <v>583</v>
      </c>
      <c r="H20" s="10" t="s">
        <v>158</v>
      </c>
      <c r="I20" s="4" t="s">
        <v>674</v>
      </c>
      <c r="J20" s="12">
        <v>45835.673611111109</v>
      </c>
      <c r="K20" s="13">
        <f>EDATE(Tabela1[[#This Row],[Data da calibração/certificação ]],12)</f>
        <v>46200</v>
      </c>
      <c r="L20" s="14">
        <f ca="1">INT(Tabela1[[#This Row],[Próxima data de calibração/certificação]]-TODAY())</f>
        <v>270</v>
      </c>
      <c r="M20" s="16" t="s">
        <v>669</v>
      </c>
      <c r="N20" s="16" t="s">
        <v>586</v>
      </c>
      <c r="O20" s="16" t="s">
        <v>673</v>
      </c>
      <c r="P20" s="9" t="s">
        <v>10</v>
      </c>
      <c r="Q20" s="16" t="s">
        <v>510</v>
      </c>
      <c r="R20" s="16" t="s">
        <v>327</v>
      </c>
    </row>
    <row r="21" spans="1:18" x14ac:dyDescent="0.25">
      <c r="A21" s="10">
        <f>ROW(Tabela1[[#This Row],[Toolbox No / Container No]])-1</f>
        <v>20</v>
      </c>
      <c r="B21" s="15" t="s">
        <v>242</v>
      </c>
      <c r="C21" s="15" t="s">
        <v>675</v>
      </c>
      <c r="D21" s="15" t="s">
        <v>615</v>
      </c>
      <c r="E21" s="15" t="s">
        <v>615</v>
      </c>
      <c r="F21" s="15" t="s">
        <v>676</v>
      </c>
      <c r="G21" s="15" t="s">
        <v>677</v>
      </c>
      <c r="H21" s="15"/>
      <c r="I21" s="5" t="s">
        <v>678</v>
      </c>
      <c r="J21" s="13">
        <v>45671.420138888891</v>
      </c>
      <c r="K21" s="13">
        <f>EDATE(Tabela1[[#This Row],[Data da calibração/certificação ]],12)</f>
        <v>46036</v>
      </c>
      <c r="L21" s="14">
        <f ca="1">INT(Tabela1[[#This Row],[Próxima data de calibração/certificação]]-TODAY())</f>
        <v>106</v>
      </c>
      <c r="M21" s="16" t="s">
        <v>679</v>
      </c>
      <c r="N21" s="16" t="s">
        <v>586</v>
      </c>
      <c r="O21" s="16" t="s">
        <v>680</v>
      </c>
      <c r="P21" s="9" t="s">
        <v>10</v>
      </c>
      <c r="Q21" s="16" t="s">
        <v>511</v>
      </c>
      <c r="R21" s="16" t="s">
        <v>328</v>
      </c>
    </row>
    <row r="22" spans="1:18" x14ac:dyDescent="0.25">
      <c r="A22" s="10">
        <f>ROW(Tabela1[[#This Row],[Toolbox No / Container No]])-1</f>
        <v>21</v>
      </c>
      <c r="B22" s="10" t="s">
        <v>217</v>
      </c>
      <c r="C22" s="10" t="s">
        <v>681</v>
      </c>
      <c r="D22" s="10" t="s">
        <v>682</v>
      </c>
      <c r="E22" s="10" t="s">
        <v>615</v>
      </c>
      <c r="F22" s="10" t="s">
        <v>683</v>
      </c>
      <c r="G22" s="10" t="s">
        <v>677</v>
      </c>
      <c r="H22" s="10"/>
      <c r="I22" s="4" t="s">
        <v>684</v>
      </c>
      <c r="J22" s="12">
        <v>45730.418749999997</v>
      </c>
      <c r="K22" s="13">
        <f>EDATE(Tabela1[[#This Row],[Data da calibração/certificação ]],12)</f>
        <v>46095</v>
      </c>
      <c r="L22" s="14">
        <f ca="1">INT(Tabela1[[#This Row],[Próxima data de calibração/certificação]]-TODAY())</f>
        <v>165</v>
      </c>
      <c r="M22" s="16" t="s">
        <v>685</v>
      </c>
      <c r="N22" s="16" t="s">
        <v>586</v>
      </c>
      <c r="O22" s="16" t="s">
        <v>686</v>
      </c>
      <c r="P22" s="9" t="s">
        <v>10</v>
      </c>
      <c r="Q22" s="16" t="s">
        <v>511</v>
      </c>
      <c r="R22" s="16" t="s">
        <v>329</v>
      </c>
    </row>
    <row r="23" spans="1:18" x14ac:dyDescent="0.25">
      <c r="A23" s="10">
        <f>ROW(Tabela1[[#This Row],[Toolbox No / Container No]])-1</f>
        <v>22</v>
      </c>
      <c r="B23" s="10" t="s">
        <v>218</v>
      </c>
      <c r="C23" s="10" t="s">
        <v>630</v>
      </c>
      <c r="D23" s="10" t="s">
        <v>631</v>
      </c>
      <c r="E23" s="10" t="s">
        <v>632</v>
      </c>
      <c r="F23" s="10" t="s">
        <v>633</v>
      </c>
      <c r="G23" s="10" t="s">
        <v>634</v>
      </c>
      <c r="H23" s="10"/>
      <c r="I23" s="4" t="s">
        <v>687</v>
      </c>
      <c r="J23" s="12">
        <v>45671.425000000003</v>
      </c>
      <c r="K23" s="13">
        <f>EDATE(Tabela1[[#This Row],[Data da calibração/certificação ]],12)</f>
        <v>46036</v>
      </c>
      <c r="L23" s="14">
        <f ca="1">INT(Tabela1[[#This Row],[Próxima data de calibração/certificação]]-TODAY())</f>
        <v>106</v>
      </c>
      <c r="M23" s="16" t="s">
        <v>635</v>
      </c>
      <c r="N23" s="16" t="s">
        <v>586</v>
      </c>
      <c r="O23" s="16" t="s">
        <v>636</v>
      </c>
      <c r="P23" s="9" t="s">
        <v>10</v>
      </c>
      <c r="Q23" s="16" t="s">
        <v>511</v>
      </c>
      <c r="R23" s="16" t="s">
        <v>330</v>
      </c>
    </row>
    <row r="24" spans="1:18" x14ac:dyDescent="0.25">
      <c r="A24" s="10">
        <f>ROW(Tabela1[[#This Row],[Toolbox No / Container No]])-1</f>
        <v>23</v>
      </c>
      <c r="B24" s="15" t="s">
        <v>240</v>
      </c>
      <c r="C24" s="15" t="s">
        <v>681</v>
      </c>
      <c r="D24" s="15" t="s">
        <v>682</v>
      </c>
      <c r="E24" s="15" t="s">
        <v>615</v>
      </c>
      <c r="F24" s="15" t="s">
        <v>688</v>
      </c>
      <c r="G24" s="15" t="s">
        <v>689</v>
      </c>
      <c r="H24" s="15"/>
      <c r="I24" s="5" t="s">
        <v>690</v>
      </c>
      <c r="J24" s="13">
        <v>45670.419444444444</v>
      </c>
      <c r="K24" s="13">
        <f>EDATE(Tabela1[[#This Row],[Data da calibração/certificação ]],12)</f>
        <v>46035</v>
      </c>
      <c r="L24" s="14">
        <f ca="1">INT(Tabela1[[#This Row],[Próxima data de calibração/certificação]]-TODAY())</f>
        <v>105</v>
      </c>
      <c r="M24" s="16" t="s">
        <v>691</v>
      </c>
      <c r="N24" s="16" t="s">
        <v>586</v>
      </c>
      <c r="O24" s="16" t="s">
        <v>692</v>
      </c>
      <c r="P24" s="9" t="s">
        <v>10</v>
      </c>
      <c r="Q24" s="16" t="s">
        <v>511</v>
      </c>
      <c r="R24" s="16" t="s">
        <v>331</v>
      </c>
    </row>
    <row r="25" spans="1:18" x14ac:dyDescent="0.25">
      <c r="A25" s="10">
        <f>ROW(Tabela1[[#This Row],[Toolbox No / Container No]])-1</f>
        <v>24</v>
      </c>
      <c r="B25" s="15" t="s">
        <v>241</v>
      </c>
      <c r="C25" s="15" t="s">
        <v>675</v>
      </c>
      <c r="D25" s="15" t="s">
        <v>682</v>
      </c>
      <c r="E25" s="15" t="s">
        <v>615</v>
      </c>
      <c r="F25" s="15" t="s">
        <v>693</v>
      </c>
      <c r="G25" s="15" t="s">
        <v>689</v>
      </c>
      <c r="H25" s="15"/>
      <c r="I25" s="5" t="s">
        <v>694</v>
      </c>
      <c r="J25" s="13">
        <v>45670</v>
      </c>
      <c r="K25" s="13">
        <f>EDATE(Tabela1[[#This Row],[Data da calibração/certificação ]],12)</f>
        <v>46035</v>
      </c>
      <c r="L25" s="14">
        <f ca="1">INT(Tabela1[[#This Row],[Próxima data de calibração/certificação]]-TODAY())</f>
        <v>105</v>
      </c>
      <c r="M25" s="16" t="s">
        <v>695</v>
      </c>
      <c r="N25" s="16" t="s">
        <v>586</v>
      </c>
      <c r="O25" s="16" t="s">
        <v>680</v>
      </c>
      <c r="P25" s="9" t="s">
        <v>10</v>
      </c>
      <c r="Q25" s="16" t="s">
        <v>511</v>
      </c>
      <c r="R25" s="16" t="s">
        <v>332</v>
      </c>
    </row>
    <row r="26" spans="1:18" x14ac:dyDescent="0.25">
      <c r="A26" s="10">
        <f>ROW(Tabela1[[#This Row],[Toolbox No / Container No]])-1</f>
        <v>25</v>
      </c>
      <c r="B26" s="15" t="s">
        <v>244</v>
      </c>
      <c r="C26" s="15" t="s">
        <v>681</v>
      </c>
      <c r="D26" s="15" t="s">
        <v>696</v>
      </c>
      <c r="E26" s="15" t="s">
        <v>615</v>
      </c>
      <c r="F26" s="15" t="s">
        <v>697</v>
      </c>
      <c r="G26" s="15" t="s">
        <v>677</v>
      </c>
      <c r="H26" s="15"/>
      <c r="I26" s="5" t="s">
        <v>698</v>
      </c>
      <c r="J26" s="13">
        <v>45803.464583333334</v>
      </c>
      <c r="K26" s="13">
        <f>EDATE(Tabela1[[#This Row],[Data da calibração/certificação ]],12)</f>
        <v>46168</v>
      </c>
      <c r="L26" s="14">
        <f ca="1">INT(Tabela1[[#This Row],[Próxima data de calibração/certificação]]-TODAY())</f>
        <v>238</v>
      </c>
      <c r="M26" s="16" t="s">
        <v>699</v>
      </c>
      <c r="N26" s="16" t="s">
        <v>586</v>
      </c>
      <c r="O26" s="16" t="s">
        <v>680</v>
      </c>
      <c r="P26" s="9" t="s">
        <v>10</v>
      </c>
      <c r="Q26" s="16" t="s">
        <v>511</v>
      </c>
      <c r="R26" s="16" t="s">
        <v>333</v>
      </c>
    </row>
    <row r="27" spans="1:18" x14ac:dyDescent="0.25">
      <c r="A27" s="10">
        <f>ROW(Tabela1[[#This Row],[Toolbox No / Container No]])-1</f>
        <v>26</v>
      </c>
      <c r="B27" s="10" t="s">
        <v>48</v>
      </c>
      <c r="C27" s="10" t="s">
        <v>675</v>
      </c>
      <c r="D27" s="10" t="s">
        <v>696</v>
      </c>
      <c r="E27" s="10" t="s">
        <v>615</v>
      </c>
      <c r="F27" s="10" t="s">
        <v>697</v>
      </c>
      <c r="G27" s="10" t="s">
        <v>677</v>
      </c>
      <c r="H27" s="10"/>
      <c r="I27" s="4" t="s">
        <v>700</v>
      </c>
      <c r="J27" s="12">
        <v>45803.421527777777</v>
      </c>
      <c r="K27" s="13">
        <f>EDATE(Tabela1[[#This Row],[Data da calibração/certificação ]],12)</f>
        <v>46168</v>
      </c>
      <c r="L27" s="14">
        <f ca="1">INT(Tabela1[[#This Row],[Próxima data de calibração/certificação]]-TODAY())</f>
        <v>238</v>
      </c>
      <c r="M27" s="16" t="s">
        <v>699</v>
      </c>
      <c r="N27" s="16" t="s">
        <v>586</v>
      </c>
      <c r="O27" s="16" t="s">
        <v>680</v>
      </c>
      <c r="P27" s="9" t="s">
        <v>10</v>
      </c>
      <c r="Q27" s="16" t="s">
        <v>511</v>
      </c>
      <c r="R27" s="16" t="s">
        <v>334</v>
      </c>
    </row>
    <row r="28" spans="1:18" x14ac:dyDescent="0.25">
      <c r="A28" s="10">
        <f>ROW(Tabela1[[#This Row],[Toolbox No / Container No]])-1</f>
        <v>27</v>
      </c>
      <c r="B28" s="15" t="s">
        <v>245</v>
      </c>
      <c r="C28" s="15" t="s">
        <v>681</v>
      </c>
      <c r="D28" s="15" t="s">
        <v>696</v>
      </c>
      <c r="E28" s="15" t="s">
        <v>615</v>
      </c>
      <c r="F28" s="15" t="s">
        <v>701</v>
      </c>
      <c r="G28" s="15" t="s">
        <v>702</v>
      </c>
      <c r="H28" s="15"/>
      <c r="I28" s="5" t="s">
        <v>703</v>
      </c>
      <c r="J28" s="13">
        <v>45803.411805555559</v>
      </c>
      <c r="K28" s="13">
        <f>EDATE(Tabela1[[#This Row],[Data da calibração/certificação ]],12)</f>
        <v>46168</v>
      </c>
      <c r="L28" s="14">
        <f ca="1">INT(Tabela1[[#This Row],[Próxima data de calibração/certificação]]-TODAY())</f>
        <v>238</v>
      </c>
      <c r="M28" s="16" t="s">
        <v>704</v>
      </c>
      <c r="N28" s="16" t="s">
        <v>586</v>
      </c>
      <c r="O28" s="16" t="s">
        <v>705</v>
      </c>
      <c r="P28" s="9" t="s">
        <v>10</v>
      </c>
      <c r="Q28" s="16" t="s">
        <v>511</v>
      </c>
      <c r="R28" s="16" t="s">
        <v>335</v>
      </c>
    </row>
    <row r="29" spans="1:18" x14ac:dyDescent="0.25">
      <c r="A29" s="10">
        <f>ROW(Tabela1[[#This Row],[Toolbox No / Container No]])-1</f>
        <v>28</v>
      </c>
      <c r="B29" s="15" t="s">
        <v>246</v>
      </c>
      <c r="C29" s="15" t="s">
        <v>681</v>
      </c>
      <c r="D29" s="15" t="s">
        <v>706</v>
      </c>
      <c r="E29" s="15">
        <v>2050</v>
      </c>
      <c r="F29" s="15" t="s">
        <v>701</v>
      </c>
      <c r="G29" s="15" t="s">
        <v>702</v>
      </c>
      <c r="H29" s="15"/>
      <c r="I29" s="5" t="s">
        <v>707</v>
      </c>
      <c r="J29" s="13">
        <v>45671.423611111109</v>
      </c>
      <c r="K29" s="13">
        <f>EDATE(Tabela1[[#This Row],[Data da calibração/certificação ]],12)</f>
        <v>46036</v>
      </c>
      <c r="L29" s="14">
        <f ca="1">INT(Tabela1[[#This Row],[Próxima data de calibração/certificação]]-TODAY())</f>
        <v>106</v>
      </c>
      <c r="M29" s="16" t="s">
        <v>708</v>
      </c>
      <c r="N29" s="16" t="s">
        <v>586</v>
      </c>
      <c r="O29" s="16" t="s">
        <v>705</v>
      </c>
      <c r="P29" s="9" t="s">
        <v>10</v>
      </c>
      <c r="Q29" s="16" t="s">
        <v>511</v>
      </c>
      <c r="R29" s="16" t="s">
        <v>336</v>
      </c>
    </row>
    <row r="30" spans="1:18" x14ac:dyDescent="0.25">
      <c r="A30" s="10">
        <f>ROW(Tabela1[[#This Row],[Toolbox No / Container No]])-1</f>
        <v>29</v>
      </c>
      <c r="B30" s="10" t="s">
        <v>219</v>
      </c>
      <c r="C30" s="10" t="s">
        <v>681</v>
      </c>
      <c r="D30" s="10" t="s">
        <v>682</v>
      </c>
      <c r="E30" s="10" t="s">
        <v>615</v>
      </c>
      <c r="F30" s="10" t="s">
        <v>709</v>
      </c>
      <c r="G30" s="10" t="s">
        <v>702</v>
      </c>
      <c r="H30" s="10"/>
      <c r="I30" s="4" t="s">
        <v>710</v>
      </c>
      <c r="J30" s="12">
        <v>45803.42291666667</v>
      </c>
      <c r="K30" s="13">
        <f>EDATE(Tabela1[[#This Row],[Data da calibração/certificação ]],12)</f>
        <v>46168</v>
      </c>
      <c r="L30" s="14">
        <f ca="1">INT(Tabela1[[#This Row],[Próxima data de calibração/certificação]]-TODAY())</f>
        <v>238</v>
      </c>
      <c r="M30" s="16" t="s">
        <v>711</v>
      </c>
      <c r="N30" s="16" t="s">
        <v>586</v>
      </c>
      <c r="O30" s="16" t="s">
        <v>686</v>
      </c>
      <c r="P30" s="9" t="s">
        <v>10</v>
      </c>
      <c r="Q30" s="16" t="s">
        <v>511</v>
      </c>
      <c r="R30" s="16" t="s">
        <v>337</v>
      </c>
    </row>
    <row r="31" spans="1:18" x14ac:dyDescent="0.25">
      <c r="A31" s="10">
        <f>ROW(Tabela1[[#This Row],[Toolbox No / Container No]])-1</f>
        <v>30</v>
      </c>
      <c r="B31" s="10" t="s">
        <v>220</v>
      </c>
      <c r="C31" s="10" t="s">
        <v>675</v>
      </c>
      <c r="D31" s="10" t="s">
        <v>696</v>
      </c>
      <c r="E31" s="10">
        <v>2050</v>
      </c>
      <c r="F31" s="10" t="s">
        <v>712</v>
      </c>
      <c r="G31" s="10" t="s">
        <v>677</v>
      </c>
      <c r="H31" s="10"/>
      <c r="I31" s="4" t="s">
        <v>713</v>
      </c>
      <c r="J31" s="12">
        <v>45670.661111111112</v>
      </c>
      <c r="K31" s="13">
        <f>EDATE(Tabela1[[#This Row],[Data da calibração/certificação ]],12)</f>
        <v>46035</v>
      </c>
      <c r="L31" s="14">
        <f ca="1">INT(Tabela1[[#This Row],[Próxima data de calibração/certificação]]-TODAY())</f>
        <v>105</v>
      </c>
      <c r="M31" s="16" t="s">
        <v>714</v>
      </c>
      <c r="N31" s="16" t="s">
        <v>586</v>
      </c>
      <c r="O31" s="16" t="s">
        <v>680</v>
      </c>
      <c r="P31" s="9" t="s">
        <v>10</v>
      </c>
      <c r="Q31" s="16" t="s">
        <v>511</v>
      </c>
      <c r="R31" s="16" t="s">
        <v>338</v>
      </c>
    </row>
    <row r="32" spans="1:18" x14ac:dyDescent="0.25">
      <c r="A32" s="10">
        <f>ROW(Tabela1[[#This Row],[Toolbox No / Container No]])-1</f>
        <v>31</v>
      </c>
      <c r="B32" s="15" t="s">
        <v>247</v>
      </c>
      <c r="C32" s="15" t="s">
        <v>681</v>
      </c>
      <c r="D32" s="15" t="s">
        <v>715</v>
      </c>
      <c r="E32" s="15" t="s">
        <v>615</v>
      </c>
      <c r="F32" s="15" t="s">
        <v>716</v>
      </c>
      <c r="G32" s="15" t="s">
        <v>702</v>
      </c>
      <c r="H32" s="15"/>
      <c r="I32" s="5" t="s">
        <v>717</v>
      </c>
      <c r="J32" s="13">
        <v>45803.447916666664</v>
      </c>
      <c r="K32" s="13">
        <f>EDATE(Tabela1[[#This Row],[Data da calibração/certificação ]],12)</f>
        <v>46168</v>
      </c>
      <c r="L32" s="14">
        <f ca="1">INT(Tabela1[[#This Row],[Próxima data de calibração/certificação]]-TODAY())</f>
        <v>238</v>
      </c>
      <c r="M32" s="16" t="s">
        <v>718</v>
      </c>
      <c r="N32" s="16" t="s">
        <v>586</v>
      </c>
      <c r="O32" s="16" t="s">
        <v>705</v>
      </c>
      <c r="P32" s="9" t="s">
        <v>10</v>
      </c>
      <c r="Q32" s="16" t="s">
        <v>511</v>
      </c>
      <c r="R32" s="16" t="s">
        <v>339</v>
      </c>
    </row>
    <row r="33" spans="1:18" x14ac:dyDescent="0.25">
      <c r="A33" s="10">
        <f>ROW(Tabela1[[#This Row],[Toolbox No / Container No]])-1</f>
        <v>32</v>
      </c>
      <c r="B33" s="15" t="s">
        <v>248</v>
      </c>
      <c r="C33" s="15" t="s">
        <v>681</v>
      </c>
      <c r="D33" s="15" t="s">
        <v>682</v>
      </c>
      <c r="E33" s="15" t="s">
        <v>615</v>
      </c>
      <c r="F33" s="15" t="s">
        <v>716</v>
      </c>
      <c r="G33" s="15" t="s">
        <v>702</v>
      </c>
      <c r="H33" s="15"/>
      <c r="I33" s="1" t="s">
        <v>719</v>
      </c>
      <c r="J33" s="13">
        <v>45714.445833333331</v>
      </c>
      <c r="K33" s="13">
        <f>EDATE(Tabela1[[#This Row],[Data da calibração/certificação ]],12)</f>
        <v>46079</v>
      </c>
      <c r="L33" s="14">
        <f ca="1">INT(Tabela1[[#This Row],[Próxima data de calibração/certificação]]-TODAY())</f>
        <v>149</v>
      </c>
      <c r="M33" s="16" t="s">
        <v>718</v>
      </c>
      <c r="N33" s="16" t="s">
        <v>586</v>
      </c>
      <c r="O33" s="16" t="s">
        <v>705</v>
      </c>
      <c r="P33" s="9" t="s">
        <v>10</v>
      </c>
      <c r="Q33" s="16" t="s">
        <v>511</v>
      </c>
      <c r="R33" s="16" t="s">
        <v>340</v>
      </c>
    </row>
    <row r="34" spans="1:18" x14ac:dyDescent="0.25">
      <c r="A34" s="10">
        <f>ROW(Tabela1[[#This Row],[Toolbox No / Container No]])-1</f>
        <v>33</v>
      </c>
      <c r="B34" s="10" t="s">
        <v>221</v>
      </c>
      <c r="C34" s="10" t="s">
        <v>681</v>
      </c>
      <c r="D34" s="10" t="s">
        <v>682</v>
      </c>
      <c r="E34" s="10" t="s">
        <v>615</v>
      </c>
      <c r="F34" s="10" t="s">
        <v>716</v>
      </c>
      <c r="G34" s="10" t="s">
        <v>702</v>
      </c>
      <c r="H34" s="10"/>
      <c r="I34" s="4" t="s">
        <v>720</v>
      </c>
      <c r="J34" s="12">
        <v>45670.434027777781</v>
      </c>
      <c r="K34" s="13">
        <f>EDATE(Tabela1[[#This Row],[Data da calibração/certificação ]],12)</f>
        <v>46035</v>
      </c>
      <c r="L34" s="14">
        <f ca="1">INT(Tabela1[[#This Row],[Próxima data de calibração/certificação]]-TODAY())</f>
        <v>105</v>
      </c>
      <c r="M34" s="16" t="s">
        <v>721</v>
      </c>
      <c r="N34" s="16" t="s">
        <v>586</v>
      </c>
      <c r="O34" s="16" t="s">
        <v>705</v>
      </c>
      <c r="P34" s="9" t="s">
        <v>10</v>
      </c>
      <c r="Q34" s="16" t="s">
        <v>511</v>
      </c>
      <c r="R34" s="16" t="s">
        <v>341</v>
      </c>
    </row>
    <row r="35" spans="1:18" x14ac:dyDescent="0.25">
      <c r="A35" s="10">
        <f>ROW(Tabela1[[#This Row],[Toolbox No / Container No]])-1</f>
        <v>34</v>
      </c>
      <c r="B35" s="10" t="s">
        <v>222</v>
      </c>
      <c r="C35" s="10" t="s">
        <v>681</v>
      </c>
      <c r="D35" s="10" t="s">
        <v>682</v>
      </c>
      <c r="E35" s="10" t="s">
        <v>615</v>
      </c>
      <c r="F35" s="10" t="s">
        <v>716</v>
      </c>
      <c r="G35" s="10" t="s">
        <v>702</v>
      </c>
      <c r="H35" s="10"/>
      <c r="I35" s="4" t="s">
        <v>722</v>
      </c>
      <c r="J35" s="12">
        <v>45674.628472222219</v>
      </c>
      <c r="K35" s="13">
        <f>EDATE(Tabela1[[#This Row],[Data da calibração/certificação ]],12)</f>
        <v>46039</v>
      </c>
      <c r="L35" s="14">
        <f ca="1">INT(Tabela1[[#This Row],[Próxima data de calibração/certificação]]-TODAY())</f>
        <v>109</v>
      </c>
      <c r="M35" s="16" t="s">
        <v>723</v>
      </c>
      <c r="N35" s="16" t="s">
        <v>586</v>
      </c>
      <c r="O35" s="16" t="s">
        <v>705</v>
      </c>
      <c r="P35" s="9" t="s">
        <v>10</v>
      </c>
      <c r="Q35" s="16" t="s">
        <v>511</v>
      </c>
      <c r="R35" s="16" t="s">
        <v>342</v>
      </c>
    </row>
    <row r="36" spans="1:18" x14ac:dyDescent="0.25">
      <c r="A36" s="10">
        <f>ROW(Tabela1[[#This Row],[Toolbox No / Container No]])-1</f>
        <v>35</v>
      </c>
      <c r="B36" s="10" t="s">
        <v>223</v>
      </c>
      <c r="C36" s="10" t="s">
        <v>665</v>
      </c>
      <c r="D36" s="10" t="s">
        <v>666</v>
      </c>
      <c r="E36" s="10" t="s">
        <v>667</v>
      </c>
      <c r="F36" s="10" t="s">
        <v>660</v>
      </c>
      <c r="G36" s="10" t="s">
        <v>583</v>
      </c>
      <c r="H36" s="10"/>
      <c r="I36" s="3" t="s">
        <v>724</v>
      </c>
      <c r="J36" s="12">
        <v>45714.450694444444</v>
      </c>
      <c r="K36" s="13">
        <f>EDATE(Tabela1[[#This Row],[Data da calibração/certificação ]],12)</f>
        <v>46079</v>
      </c>
      <c r="L36" s="14">
        <f ca="1">INT(Tabela1[[#This Row],[Próxima data de calibração/certificação]]-TODAY())</f>
        <v>149</v>
      </c>
      <c r="M36" s="16" t="s">
        <v>672</v>
      </c>
      <c r="N36" s="16" t="s">
        <v>586</v>
      </c>
      <c r="O36" s="16" t="s">
        <v>673</v>
      </c>
      <c r="P36" s="9" t="s">
        <v>10</v>
      </c>
      <c r="Q36" s="16" t="s">
        <v>511</v>
      </c>
      <c r="R36" s="16" t="s">
        <v>343</v>
      </c>
    </row>
    <row r="37" spans="1:18" x14ac:dyDescent="0.25">
      <c r="A37" s="10">
        <f>ROW(Tabela1[[#This Row],[Toolbox No / Container No]])-1</f>
        <v>36</v>
      </c>
      <c r="B37" s="10" t="s">
        <v>224</v>
      </c>
      <c r="C37" s="10" t="s">
        <v>681</v>
      </c>
      <c r="D37" s="10" t="s">
        <v>715</v>
      </c>
      <c r="E37" s="10" t="s">
        <v>615</v>
      </c>
      <c r="F37" s="10" t="s">
        <v>716</v>
      </c>
      <c r="G37" s="10" t="s">
        <v>702</v>
      </c>
      <c r="H37" s="10"/>
      <c r="I37" s="4" t="s">
        <v>725</v>
      </c>
      <c r="J37" s="12">
        <v>45803.436111111114</v>
      </c>
      <c r="K37" s="13">
        <f>EDATE(Tabela1[[#This Row],[Data da calibração/certificação ]],12)</f>
        <v>46168</v>
      </c>
      <c r="L37" s="14">
        <f ca="1">INT(Tabela1[[#This Row],[Próxima data de calibração/certificação]]-TODAY())</f>
        <v>238</v>
      </c>
      <c r="M37" s="16" t="s">
        <v>726</v>
      </c>
      <c r="N37" s="16" t="s">
        <v>586</v>
      </c>
      <c r="O37" s="16" t="s">
        <v>705</v>
      </c>
      <c r="P37" s="9" t="s">
        <v>10</v>
      </c>
      <c r="Q37" s="16" t="s">
        <v>511</v>
      </c>
      <c r="R37" s="16" t="s">
        <v>344</v>
      </c>
    </row>
    <row r="38" spans="1:18" x14ac:dyDescent="0.25">
      <c r="A38" s="10">
        <f>ROW(Tabela1[[#This Row],[Toolbox No / Container No]])-1</f>
        <v>37</v>
      </c>
      <c r="B38" s="15" t="s">
        <v>243</v>
      </c>
      <c r="C38" s="15" t="s">
        <v>727</v>
      </c>
      <c r="D38" s="15" t="s">
        <v>728</v>
      </c>
      <c r="E38" s="15" t="s">
        <v>729</v>
      </c>
      <c r="F38" s="15" t="s">
        <v>730</v>
      </c>
      <c r="G38" s="15" t="s">
        <v>731</v>
      </c>
      <c r="H38" s="15"/>
      <c r="I38" s="5" t="s">
        <v>732</v>
      </c>
      <c r="J38" s="13">
        <v>45670.447916666664</v>
      </c>
      <c r="K38" s="13">
        <f>EDATE(Tabela1[[#This Row],[Data da calibração/certificação ]],12)</f>
        <v>46035</v>
      </c>
      <c r="L38" s="14">
        <f ca="1">INT(Tabela1[[#This Row],[Próxima data de calibração/certificação]]-TODAY())</f>
        <v>105</v>
      </c>
      <c r="M38" s="16" t="s">
        <v>733</v>
      </c>
      <c r="N38" s="16" t="s">
        <v>586</v>
      </c>
      <c r="O38" s="16" t="s">
        <v>734</v>
      </c>
      <c r="P38" s="9" t="s">
        <v>10</v>
      </c>
      <c r="Q38" s="16" t="s">
        <v>511</v>
      </c>
      <c r="R38" s="16" t="s">
        <v>345</v>
      </c>
    </row>
    <row r="39" spans="1:18" x14ac:dyDescent="0.25">
      <c r="A39" s="10">
        <f>ROW(Tabela1[[#This Row],[Toolbox No / Container No]])-1</f>
        <v>38</v>
      </c>
      <c r="B39" s="15" t="s">
        <v>239</v>
      </c>
      <c r="C39" s="15" t="s">
        <v>681</v>
      </c>
      <c r="D39" s="15" t="s">
        <v>735</v>
      </c>
      <c r="E39" s="15" t="s">
        <v>615</v>
      </c>
      <c r="F39" s="15" t="s">
        <v>736</v>
      </c>
      <c r="G39" s="15" t="s">
        <v>702</v>
      </c>
      <c r="H39" s="15"/>
      <c r="I39" s="5" t="s">
        <v>737</v>
      </c>
      <c r="J39" s="13">
        <v>45675.344444444447</v>
      </c>
      <c r="K39" s="13">
        <f>EDATE(Tabela1[[#This Row],[Data da calibração/certificação ]],12)</f>
        <v>46040</v>
      </c>
      <c r="L39" s="14">
        <f ca="1">INT(Tabela1[[#This Row],[Próxima data de calibração/certificação]]-TODAY())</f>
        <v>110</v>
      </c>
      <c r="M39" s="16" t="s">
        <v>738</v>
      </c>
      <c r="N39" s="16" t="s">
        <v>586</v>
      </c>
      <c r="O39" s="16" t="s">
        <v>686</v>
      </c>
      <c r="P39" s="9" t="s">
        <v>10</v>
      </c>
      <c r="Q39" s="16" t="s">
        <v>511</v>
      </c>
      <c r="R39" s="16" t="s">
        <v>346</v>
      </c>
    </row>
    <row r="40" spans="1:18" x14ac:dyDescent="0.25">
      <c r="A40" s="10">
        <f>ROW(Tabela1[[#This Row],[Toolbox No / Container No]])-1</f>
        <v>39</v>
      </c>
      <c r="B40" s="10" t="s">
        <v>95</v>
      </c>
      <c r="C40" s="10" t="s">
        <v>739</v>
      </c>
      <c r="D40" s="10" t="s">
        <v>96</v>
      </c>
      <c r="E40" s="10" t="s">
        <v>615</v>
      </c>
      <c r="F40" s="10" t="s">
        <v>740</v>
      </c>
      <c r="G40" s="10" t="s">
        <v>741</v>
      </c>
      <c r="H40" s="10"/>
      <c r="I40" s="5" t="s">
        <v>742</v>
      </c>
      <c r="J40" s="12">
        <v>45904</v>
      </c>
      <c r="K40" s="13">
        <f>EDATE(Tabela1[[#This Row],[Data da calibração/certificação ]],12)</f>
        <v>46269</v>
      </c>
      <c r="L40" s="14">
        <f ca="1">INT(Tabela1[[#This Row],[Próxima data de calibração/certificação]]-TODAY())</f>
        <v>339</v>
      </c>
      <c r="M40" s="16" t="s">
        <v>743</v>
      </c>
      <c r="N40" s="16" t="s">
        <v>586</v>
      </c>
      <c r="O40" s="16" t="s">
        <v>744</v>
      </c>
      <c r="P40" s="9" t="s">
        <v>10</v>
      </c>
      <c r="Q40" s="16" t="s">
        <v>511</v>
      </c>
      <c r="R40" s="16" t="s">
        <v>347</v>
      </c>
    </row>
    <row r="41" spans="1:18" x14ac:dyDescent="0.25">
      <c r="A41" s="10">
        <f>ROW(Tabela1[[#This Row],[Toolbox No / Container No]])-1</f>
        <v>40</v>
      </c>
      <c r="B41" s="10" t="s">
        <v>97</v>
      </c>
      <c r="C41" s="10" t="s">
        <v>739</v>
      </c>
      <c r="D41" s="10" t="s">
        <v>96</v>
      </c>
      <c r="E41" s="10" t="s">
        <v>615</v>
      </c>
      <c r="F41" s="10" t="s">
        <v>745</v>
      </c>
      <c r="G41" s="10" t="s">
        <v>741</v>
      </c>
      <c r="H41" s="10"/>
      <c r="I41" s="5" t="s">
        <v>746</v>
      </c>
      <c r="J41" s="12">
        <v>45904</v>
      </c>
      <c r="K41" s="13">
        <f>EDATE(Tabela1[[#This Row],[Data da calibração/certificação ]],12)</f>
        <v>46269</v>
      </c>
      <c r="L41" s="14">
        <f ca="1">INT(Tabela1[[#This Row],[Próxima data de calibração/certificação]]-TODAY())</f>
        <v>339</v>
      </c>
      <c r="M41" s="16" t="s">
        <v>743</v>
      </c>
      <c r="N41" s="16" t="s">
        <v>586</v>
      </c>
      <c r="O41" s="16" t="s">
        <v>744</v>
      </c>
      <c r="P41" s="9" t="s">
        <v>10</v>
      </c>
      <c r="Q41" s="16" t="s">
        <v>512</v>
      </c>
      <c r="R41" s="16" t="s">
        <v>348</v>
      </c>
    </row>
    <row r="42" spans="1:18" x14ac:dyDescent="0.25">
      <c r="A42" s="10">
        <f>ROW(Tabela1[[#This Row],[Toolbox No / Container No]])-1</f>
        <v>41</v>
      </c>
      <c r="B42" s="10" t="s">
        <v>98</v>
      </c>
      <c r="C42" s="10" t="s">
        <v>739</v>
      </c>
      <c r="D42" s="10" t="s">
        <v>99</v>
      </c>
      <c r="E42" s="10" t="s">
        <v>615</v>
      </c>
      <c r="F42" s="10" t="s">
        <v>747</v>
      </c>
      <c r="G42" s="10" t="s">
        <v>741</v>
      </c>
      <c r="H42" s="10"/>
      <c r="I42" s="5" t="s">
        <v>748</v>
      </c>
      <c r="J42" s="12">
        <v>45904</v>
      </c>
      <c r="K42" s="13">
        <f>EDATE(Tabela1[[#This Row],[Data da calibração/certificação ]],12)</f>
        <v>46269</v>
      </c>
      <c r="L42" s="14">
        <f ca="1">INT(Tabela1[[#This Row],[Próxima data de calibração/certificação]]-TODAY())</f>
        <v>339</v>
      </c>
      <c r="M42" s="16" t="s">
        <v>743</v>
      </c>
      <c r="N42" s="16" t="s">
        <v>586</v>
      </c>
      <c r="O42" s="16" t="s">
        <v>744</v>
      </c>
      <c r="P42" s="9" t="s">
        <v>10</v>
      </c>
      <c r="Q42" s="16" t="s">
        <v>512</v>
      </c>
      <c r="R42" s="16" t="s">
        <v>349</v>
      </c>
    </row>
    <row r="43" spans="1:18" x14ac:dyDescent="0.25">
      <c r="A43" s="10">
        <f>ROW(Tabela1[[#This Row],[Toolbox No / Container No]])-1</f>
        <v>42</v>
      </c>
      <c r="B43" s="15" t="s">
        <v>262</v>
      </c>
      <c r="C43" s="15" t="s">
        <v>665</v>
      </c>
      <c r="D43" s="15" t="s">
        <v>666</v>
      </c>
      <c r="E43" s="15" t="s">
        <v>667</v>
      </c>
      <c r="F43" s="15" t="s">
        <v>660</v>
      </c>
      <c r="G43" s="15" t="s">
        <v>583</v>
      </c>
      <c r="H43" s="15" t="s">
        <v>263</v>
      </c>
      <c r="I43" s="3" t="s">
        <v>749</v>
      </c>
      <c r="J43" s="13">
        <v>45747</v>
      </c>
      <c r="K43" s="13">
        <f>EDATE(Tabela1[[#This Row],[Data da calibração/certificação ]],12)</f>
        <v>46112</v>
      </c>
      <c r="L43" s="14">
        <f ca="1">INT(Tabela1[[#This Row],[Próxima data de calibração/certificação]]-TODAY())</f>
        <v>182</v>
      </c>
      <c r="M43" s="16" t="s">
        <v>669</v>
      </c>
      <c r="N43" s="16" t="s">
        <v>586</v>
      </c>
      <c r="O43" s="16" t="s">
        <v>673</v>
      </c>
      <c r="P43" s="9" t="s">
        <v>10</v>
      </c>
      <c r="Q43" s="16" t="s">
        <v>513</v>
      </c>
      <c r="R43" s="16" t="s">
        <v>350</v>
      </c>
    </row>
    <row r="44" spans="1:18" x14ac:dyDescent="0.25">
      <c r="A44" s="10">
        <f>ROW(Tabela1[[#This Row],[Toolbox No / Container No]])-1</f>
        <v>43</v>
      </c>
      <c r="B44" s="10" t="s">
        <v>79</v>
      </c>
      <c r="C44" s="10" t="s">
        <v>750</v>
      </c>
      <c r="D44" s="10" t="s">
        <v>173</v>
      </c>
      <c r="E44" s="10" t="s">
        <v>615</v>
      </c>
      <c r="F44" s="10" t="s">
        <v>751</v>
      </c>
      <c r="G44" s="10" t="s">
        <v>752</v>
      </c>
      <c r="H44" s="10"/>
      <c r="I44" s="4" t="s">
        <v>753</v>
      </c>
      <c r="J44" s="12">
        <v>45841.645833333336</v>
      </c>
      <c r="K44" s="13">
        <f>EDATE(Tabela1[[#This Row],[Data da calibração/certificação ]],12)</f>
        <v>46206</v>
      </c>
      <c r="L44" s="14">
        <f ca="1">INT(Tabela1[[#This Row],[Próxima data de calibração/certificação]]-TODAY())</f>
        <v>276</v>
      </c>
      <c r="M44" s="16" t="s">
        <v>754</v>
      </c>
      <c r="N44" s="16" t="s">
        <v>586</v>
      </c>
      <c r="O44" s="16" t="s">
        <v>755</v>
      </c>
      <c r="P44" s="9" t="s">
        <v>10</v>
      </c>
      <c r="Q44" s="16" t="s">
        <v>514</v>
      </c>
      <c r="R44" s="16" t="s">
        <v>351</v>
      </c>
    </row>
    <row r="45" spans="1:18" x14ac:dyDescent="0.25">
      <c r="A45" s="10">
        <f>ROW(Tabela1[[#This Row],[Toolbox No / Container No]])-1</f>
        <v>44</v>
      </c>
      <c r="B45" s="15" t="s">
        <v>161</v>
      </c>
      <c r="C45" s="15" t="s">
        <v>750</v>
      </c>
      <c r="D45" s="15" t="s">
        <v>756</v>
      </c>
      <c r="E45" s="15" t="s">
        <v>615</v>
      </c>
      <c r="F45" s="15" t="s">
        <v>757</v>
      </c>
      <c r="G45" s="15" t="s">
        <v>758</v>
      </c>
      <c r="H45" s="15"/>
      <c r="I45" s="5" t="s">
        <v>759</v>
      </c>
      <c r="J45" s="13">
        <v>45789.666666666664</v>
      </c>
      <c r="K45" s="13">
        <f>EDATE(Tabela1[[#This Row],[Data da calibração/certificação ]],12)</f>
        <v>46154</v>
      </c>
      <c r="L45" s="14">
        <f ca="1">INT(Tabela1[[#This Row],[Próxima data de calibração/certificação]]-TODAY())</f>
        <v>224</v>
      </c>
      <c r="M45" s="16" t="s">
        <v>760</v>
      </c>
      <c r="N45" s="16" t="s">
        <v>586</v>
      </c>
      <c r="O45" s="16" t="s">
        <v>761</v>
      </c>
      <c r="P45" s="9" t="s">
        <v>10</v>
      </c>
      <c r="Q45" s="16" t="s">
        <v>514</v>
      </c>
      <c r="R45" s="16" t="s">
        <v>352</v>
      </c>
    </row>
    <row r="46" spans="1:18" x14ac:dyDescent="0.25">
      <c r="A46" s="10">
        <f>ROW(Tabela1[[#This Row],[Toolbox No / Container No]])-1</f>
        <v>45</v>
      </c>
      <c r="B46" s="15" t="s">
        <v>162</v>
      </c>
      <c r="C46" s="15" t="s">
        <v>750</v>
      </c>
      <c r="D46" s="15" t="s">
        <v>762</v>
      </c>
      <c r="E46" s="15" t="s">
        <v>763</v>
      </c>
      <c r="F46" s="15" t="s">
        <v>764</v>
      </c>
      <c r="G46" s="15" t="s">
        <v>765</v>
      </c>
      <c r="H46" s="15"/>
      <c r="I46" s="5" t="s">
        <v>766</v>
      </c>
      <c r="J46" s="13">
        <v>45789.588194444441</v>
      </c>
      <c r="K46" s="13">
        <f>EDATE(Tabela1[[#This Row],[Data da calibração/certificação ]],12)</f>
        <v>46154</v>
      </c>
      <c r="L46" s="14">
        <f ca="1">INT(Tabela1[[#This Row],[Próxima data de calibração/certificação]]-TODAY())</f>
        <v>224</v>
      </c>
      <c r="M46" s="16" t="s">
        <v>767</v>
      </c>
      <c r="N46" s="16" t="s">
        <v>586</v>
      </c>
      <c r="O46" s="16" t="s">
        <v>768</v>
      </c>
      <c r="P46" s="9" t="s">
        <v>10</v>
      </c>
      <c r="Q46" s="16" t="s">
        <v>514</v>
      </c>
      <c r="R46" s="16" t="s">
        <v>353</v>
      </c>
    </row>
    <row r="47" spans="1:18" x14ac:dyDescent="0.25">
      <c r="A47" s="10">
        <f>ROW(Tabela1[[#This Row],[Toolbox No / Container No]])-1</f>
        <v>46</v>
      </c>
      <c r="B47" s="10" t="s">
        <v>163</v>
      </c>
      <c r="C47" s="10" t="s">
        <v>750</v>
      </c>
      <c r="D47" s="10" t="s">
        <v>164</v>
      </c>
      <c r="E47" s="10" t="s">
        <v>615</v>
      </c>
      <c r="F47" s="10" t="s">
        <v>769</v>
      </c>
      <c r="G47" s="10" t="s">
        <v>770</v>
      </c>
      <c r="H47" s="10"/>
      <c r="I47" s="4" t="s">
        <v>771</v>
      </c>
      <c r="J47" s="12">
        <v>45777.666666666664</v>
      </c>
      <c r="K47" s="13">
        <f>EDATE(Tabela1[[#This Row],[Data da calibração/certificação ]],12)</f>
        <v>46142</v>
      </c>
      <c r="L47" s="14">
        <f ca="1">INT(Tabela1[[#This Row],[Próxima data de calibração/certificação]]-TODAY())</f>
        <v>212</v>
      </c>
      <c r="M47" s="16" t="s">
        <v>772</v>
      </c>
      <c r="N47" s="16" t="s">
        <v>586</v>
      </c>
      <c r="O47" s="16" t="s">
        <v>773</v>
      </c>
      <c r="P47" s="9" t="s">
        <v>10</v>
      </c>
      <c r="Q47" s="16" t="s">
        <v>514</v>
      </c>
      <c r="R47" s="16" t="s">
        <v>354</v>
      </c>
    </row>
    <row r="48" spans="1:18" x14ac:dyDescent="0.25">
      <c r="A48" s="10">
        <f>ROW(Tabela1[[#This Row],[Toolbox No / Container No]])-1</f>
        <v>47</v>
      </c>
      <c r="B48" s="15" t="s">
        <v>233</v>
      </c>
      <c r="C48" s="15" t="s">
        <v>750</v>
      </c>
      <c r="D48" s="15" t="s">
        <v>164</v>
      </c>
      <c r="E48" s="15" t="s">
        <v>615</v>
      </c>
      <c r="F48" s="15" t="s">
        <v>774</v>
      </c>
      <c r="G48" s="15" t="s">
        <v>775</v>
      </c>
      <c r="H48" s="15" t="s">
        <v>234</v>
      </c>
      <c r="I48" s="5" t="s">
        <v>776</v>
      </c>
      <c r="J48" s="13">
        <v>45777.602083333331</v>
      </c>
      <c r="K48" s="13">
        <f>EDATE(Tabela1[[#This Row],[Data da calibração/certificação ]],12)</f>
        <v>46142</v>
      </c>
      <c r="L48" s="14">
        <f ca="1">INT(Tabela1[[#This Row],[Próxima data de calibração/certificação]]-TODAY())</f>
        <v>212</v>
      </c>
      <c r="M48" s="16" t="s">
        <v>777</v>
      </c>
      <c r="N48" s="16" t="s">
        <v>586</v>
      </c>
      <c r="O48" s="16" t="s">
        <v>778</v>
      </c>
      <c r="P48" s="9" t="s">
        <v>10</v>
      </c>
      <c r="Q48" s="16" t="s">
        <v>514</v>
      </c>
      <c r="R48" s="16" t="s">
        <v>355</v>
      </c>
    </row>
    <row r="49" spans="1:18" x14ac:dyDescent="0.25">
      <c r="A49" s="10">
        <f>ROW(Tabela1[[#This Row],[Toolbox No / Container No]])-1</f>
        <v>48</v>
      </c>
      <c r="B49" s="10" t="s">
        <v>51</v>
      </c>
      <c r="C49" s="10" t="s">
        <v>750</v>
      </c>
      <c r="D49" s="10" t="s">
        <v>52</v>
      </c>
      <c r="E49" s="10" t="s">
        <v>615</v>
      </c>
      <c r="F49" s="10" t="s">
        <v>779</v>
      </c>
      <c r="G49" s="10" t="s">
        <v>780</v>
      </c>
      <c r="H49" s="10"/>
      <c r="I49" s="4" t="s">
        <v>781</v>
      </c>
      <c r="J49" s="12">
        <v>45841.424305555556</v>
      </c>
      <c r="K49" s="13">
        <f>EDATE(Tabela1[[#This Row],[Data da calibração/certificação ]],12)</f>
        <v>46206</v>
      </c>
      <c r="L49" s="14">
        <f ca="1">INT(Tabela1[[#This Row],[Próxima data de calibração/certificação]]-TODAY())</f>
        <v>276</v>
      </c>
      <c r="M49" s="16" t="s">
        <v>782</v>
      </c>
      <c r="N49" s="16" t="s">
        <v>591</v>
      </c>
      <c r="O49" s="16" t="s">
        <v>783</v>
      </c>
      <c r="P49" s="9" t="s">
        <v>10</v>
      </c>
      <c r="Q49" s="16" t="s">
        <v>514</v>
      </c>
      <c r="R49" s="16" t="s">
        <v>356</v>
      </c>
    </row>
    <row r="50" spans="1:18" x14ac:dyDescent="0.25">
      <c r="A50" s="10">
        <f>ROW(Tabela1[[#This Row],[Toolbox No / Container No]])-1</f>
        <v>49</v>
      </c>
      <c r="B50" s="10" t="s">
        <v>165</v>
      </c>
      <c r="C50" s="10" t="s">
        <v>750</v>
      </c>
      <c r="D50" s="10" t="s">
        <v>784</v>
      </c>
      <c r="E50" s="10" t="s">
        <v>615</v>
      </c>
      <c r="F50" s="10" t="s">
        <v>785</v>
      </c>
      <c r="G50" s="10" t="s">
        <v>758</v>
      </c>
      <c r="H50" s="10"/>
      <c r="I50" s="4" t="s">
        <v>786</v>
      </c>
      <c r="J50" s="12">
        <v>45789.595138888886</v>
      </c>
      <c r="K50" s="13">
        <f>EDATE(Tabela1[[#This Row],[Data da calibração/certificação ]],12)</f>
        <v>46154</v>
      </c>
      <c r="L50" s="14">
        <f ca="1">INT(Tabela1[[#This Row],[Próxima data de calibração/certificação]]-TODAY())</f>
        <v>224</v>
      </c>
      <c r="M50" s="16" t="s">
        <v>787</v>
      </c>
      <c r="N50" s="16" t="s">
        <v>586</v>
      </c>
      <c r="O50" s="16" t="s">
        <v>788</v>
      </c>
      <c r="P50" s="9" t="s">
        <v>10</v>
      </c>
      <c r="Q50" s="16" t="s">
        <v>514</v>
      </c>
      <c r="R50" s="16" t="s">
        <v>357</v>
      </c>
    </row>
    <row r="51" spans="1:18" x14ac:dyDescent="0.25">
      <c r="A51" s="10">
        <f>ROW(Tabela1[[#This Row],[Toolbox No / Container No]])-1</f>
        <v>50</v>
      </c>
      <c r="B51" s="10" t="s">
        <v>166</v>
      </c>
      <c r="C51" s="10" t="s">
        <v>750</v>
      </c>
      <c r="D51" s="10" t="s">
        <v>789</v>
      </c>
      <c r="E51" s="10" t="s">
        <v>615</v>
      </c>
      <c r="F51" s="10" t="s">
        <v>790</v>
      </c>
      <c r="G51" s="10" t="s">
        <v>791</v>
      </c>
      <c r="H51" s="10"/>
      <c r="I51" s="4" t="s">
        <v>792</v>
      </c>
      <c r="J51" s="12">
        <v>45757.397222222222</v>
      </c>
      <c r="K51" s="13">
        <f>EDATE(Tabela1[[#This Row],[Data da calibração/certificação ]],12)</f>
        <v>46122</v>
      </c>
      <c r="L51" s="14">
        <f ca="1">INT(Tabela1[[#This Row],[Próxima data de calibração/certificação]]-TODAY())</f>
        <v>192</v>
      </c>
      <c r="M51" s="16" t="s">
        <v>793</v>
      </c>
      <c r="N51" s="16" t="s">
        <v>586</v>
      </c>
      <c r="O51" s="16" t="s">
        <v>794</v>
      </c>
      <c r="P51" s="9" t="s">
        <v>10</v>
      </c>
      <c r="Q51" s="16" t="s">
        <v>514</v>
      </c>
      <c r="R51" s="16" t="s">
        <v>358</v>
      </c>
    </row>
    <row r="52" spans="1:18" x14ac:dyDescent="0.25">
      <c r="A52" s="10">
        <f>ROW(Tabela1[[#This Row],[Toolbox No / Container No]])-1</f>
        <v>51</v>
      </c>
      <c r="B52" s="15" t="s">
        <v>253</v>
      </c>
      <c r="C52" s="15" t="s">
        <v>750</v>
      </c>
      <c r="D52" s="15" t="s">
        <v>795</v>
      </c>
      <c r="E52" s="15" t="s">
        <v>615</v>
      </c>
      <c r="F52" s="15" t="s">
        <v>796</v>
      </c>
      <c r="G52" s="15" t="s">
        <v>752</v>
      </c>
      <c r="H52" s="15"/>
      <c r="I52" s="3" t="s">
        <v>797</v>
      </c>
      <c r="J52" s="13">
        <v>45777.75</v>
      </c>
      <c r="K52" s="13">
        <f>EDATE(Tabela1[[#This Row],[Data da calibração/certificação ]],12)</f>
        <v>46142</v>
      </c>
      <c r="L52" s="14">
        <f ca="1">INT(Tabela1[[#This Row],[Próxima data de calibração/certificação]]-TODAY())</f>
        <v>212</v>
      </c>
      <c r="M52" s="16" t="s">
        <v>798</v>
      </c>
      <c r="N52" s="16" t="s">
        <v>586</v>
      </c>
      <c r="O52" s="16" t="s">
        <v>799</v>
      </c>
      <c r="P52" s="9" t="s">
        <v>10</v>
      </c>
      <c r="Q52" s="16" t="s">
        <v>514</v>
      </c>
      <c r="R52" s="16" t="s">
        <v>359</v>
      </c>
    </row>
    <row r="53" spans="1:18" x14ac:dyDescent="0.25">
      <c r="A53" s="10">
        <f>ROW(Tabela1[[#This Row],[Toolbox No / Container No]])-1</f>
        <v>52</v>
      </c>
      <c r="B53" s="10" t="s">
        <v>167</v>
      </c>
      <c r="C53" s="10" t="s">
        <v>750</v>
      </c>
      <c r="D53" s="10" t="s">
        <v>756</v>
      </c>
      <c r="E53" s="10" t="s">
        <v>800</v>
      </c>
      <c r="F53" s="10" t="s">
        <v>801</v>
      </c>
      <c r="G53" s="10" t="s">
        <v>802</v>
      </c>
      <c r="H53" s="10"/>
      <c r="I53" s="4" t="s">
        <v>803</v>
      </c>
      <c r="J53" s="12">
        <v>45789.590277777781</v>
      </c>
      <c r="K53" s="13">
        <f>EDATE(Tabela1[[#This Row],[Data da calibração/certificação ]],12)</f>
        <v>46154</v>
      </c>
      <c r="L53" s="14">
        <f ca="1">INT(Tabela1[[#This Row],[Próxima data de calibração/certificação]]-TODAY())</f>
        <v>224</v>
      </c>
      <c r="M53" s="16" t="s">
        <v>804</v>
      </c>
      <c r="N53" s="16" t="s">
        <v>586</v>
      </c>
      <c r="O53" s="16" t="s">
        <v>761</v>
      </c>
      <c r="P53" s="9" t="s">
        <v>10</v>
      </c>
      <c r="Q53" s="16" t="s">
        <v>514</v>
      </c>
      <c r="R53" s="16" t="s">
        <v>360</v>
      </c>
    </row>
    <row r="54" spans="1:18" x14ac:dyDescent="0.25">
      <c r="A54" s="10">
        <f>ROW(Tabela1[[#This Row],[Toolbox No / Container No]])-1</f>
        <v>53</v>
      </c>
      <c r="B54" s="10" t="s">
        <v>168</v>
      </c>
      <c r="C54" s="10" t="s">
        <v>750</v>
      </c>
      <c r="D54" s="10" t="s">
        <v>762</v>
      </c>
      <c r="E54" s="10" t="s">
        <v>615</v>
      </c>
      <c r="F54" s="10" t="s">
        <v>805</v>
      </c>
      <c r="G54" s="10" t="s">
        <v>806</v>
      </c>
      <c r="H54" s="10"/>
      <c r="I54" s="4" t="s">
        <v>807</v>
      </c>
      <c r="J54" s="12">
        <v>45789.591666666667</v>
      </c>
      <c r="K54" s="13">
        <f>EDATE(Tabela1[[#This Row],[Data da calibração/certificação ]],12)</f>
        <v>46154</v>
      </c>
      <c r="L54" s="14">
        <f ca="1">INT(Tabela1[[#This Row],[Próxima data de calibração/certificação]]-TODAY())</f>
        <v>224</v>
      </c>
      <c r="M54" s="16" t="s">
        <v>808</v>
      </c>
      <c r="N54" s="16" t="s">
        <v>586</v>
      </c>
      <c r="O54" s="16" t="s">
        <v>809</v>
      </c>
      <c r="P54" s="9" t="s">
        <v>10</v>
      </c>
      <c r="Q54" s="16" t="s">
        <v>514</v>
      </c>
      <c r="R54" s="16" t="s">
        <v>361</v>
      </c>
    </row>
    <row r="55" spans="1:18" x14ac:dyDescent="0.25">
      <c r="A55" s="10">
        <f>ROW(Tabela1[[#This Row],[Toolbox No / Container No]])-1</f>
        <v>54</v>
      </c>
      <c r="B55" s="10" t="s">
        <v>169</v>
      </c>
      <c r="C55" s="10" t="s">
        <v>750</v>
      </c>
      <c r="D55" s="10" t="s">
        <v>810</v>
      </c>
      <c r="E55" s="10" t="s">
        <v>615</v>
      </c>
      <c r="F55" s="10" t="s">
        <v>811</v>
      </c>
      <c r="G55" s="10" t="s">
        <v>812</v>
      </c>
      <c r="H55" s="10"/>
      <c r="I55" s="4" t="s">
        <v>813</v>
      </c>
      <c r="J55" s="12">
        <v>45789.598611111112</v>
      </c>
      <c r="K55" s="13">
        <f>EDATE(Tabela1[[#This Row],[Data da calibração/certificação ]],12)</f>
        <v>46154</v>
      </c>
      <c r="L55" s="14">
        <f ca="1">INT(Tabela1[[#This Row],[Próxima data de calibração/certificação]]-TODAY())</f>
        <v>224</v>
      </c>
      <c r="M55" s="16" t="s">
        <v>814</v>
      </c>
      <c r="N55" s="16" t="s">
        <v>586</v>
      </c>
      <c r="O55" s="16" t="s">
        <v>815</v>
      </c>
      <c r="P55" s="9" t="s">
        <v>10</v>
      </c>
      <c r="Q55" s="16" t="s">
        <v>514</v>
      </c>
      <c r="R55" s="16" t="s">
        <v>362</v>
      </c>
    </row>
    <row r="56" spans="1:18" x14ac:dyDescent="0.25">
      <c r="A56" s="10">
        <f>ROW(Tabela1[[#This Row],[Toolbox No / Container No]])-1</f>
        <v>55</v>
      </c>
      <c r="B56" s="10" t="s">
        <v>170</v>
      </c>
      <c r="C56" s="10" t="s">
        <v>750</v>
      </c>
      <c r="D56" s="10" t="s">
        <v>810</v>
      </c>
      <c r="E56" s="10" t="s">
        <v>615</v>
      </c>
      <c r="F56" s="10" t="s">
        <v>811</v>
      </c>
      <c r="G56" s="10" t="s">
        <v>812</v>
      </c>
      <c r="H56" s="10"/>
      <c r="I56" s="4" t="s">
        <v>816</v>
      </c>
      <c r="J56" s="12">
        <v>45789.597222222219</v>
      </c>
      <c r="K56" s="13">
        <f>EDATE(Tabela1[[#This Row],[Data da calibração/certificação ]],12)</f>
        <v>46154</v>
      </c>
      <c r="L56" s="14">
        <f ca="1">INT(Tabela1[[#This Row],[Próxima data de calibração/certificação]]-TODAY())</f>
        <v>224</v>
      </c>
      <c r="M56" s="16" t="s">
        <v>817</v>
      </c>
      <c r="N56" s="16" t="s">
        <v>586</v>
      </c>
      <c r="O56" s="16" t="s">
        <v>755</v>
      </c>
      <c r="P56" s="9" t="s">
        <v>10</v>
      </c>
      <c r="Q56" s="16" t="s">
        <v>514</v>
      </c>
      <c r="R56" s="16" t="s">
        <v>363</v>
      </c>
    </row>
    <row r="57" spans="1:18" x14ac:dyDescent="0.25">
      <c r="A57" s="10">
        <f>ROW(Tabela1[[#This Row],[Toolbox No / Container No]])-1</f>
        <v>56</v>
      </c>
      <c r="B57" s="10" t="s">
        <v>171</v>
      </c>
      <c r="C57" s="10" t="s">
        <v>750</v>
      </c>
      <c r="D57" s="10" t="s">
        <v>756</v>
      </c>
      <c r="E57" s="10" t="s">
        <v>615</v>
      </c>
      <c r="F57" s="10" t="s">
        <v>818</v>
      </c>
      <c r="G57" s="10" t="s">
        <v>752</v>
      </c>
      <c r="H57" s="10"/>
      <c r="I57" s="4" t="s">
        <v>819</v>
      </c>
      <c r="J57" s="12">
        <v>45789.584027777775</v>
      </c>
      <c r="K57" s="13">
        <f>EDATE(Tabela1[[#This Row],[Data da calibração/certificação ]],12)</f>
        <v>46154</v>
      </c>
      <c r="L57" s="14">
        <f ca="1">INT(Tabela1[[#This Row],[Próxima data de calibração/certificação]]-TODAY())</f>
        <v>224</v>
      </c>
      <c r="M57" s="16" t="s">
        <v>820</v>
      </c>
      <c r="N57" s="16" t="s">
        <v>586</v>
      </c>
      <c r="O57" s="16" t="s">
        <v>761</v>
      </c>
      <c r="P57" s="9" t="s">
        <v>10</v>
      </c>
      <c r="Q57" s="16" t="s">
        <v>514</v>
      </c>
      <c r="R57" s="16" t="s">
        <v>364</v>
      </c>
    </row>
    <row r="58" spans="1:18" x14ac:dyDescent="0.25">
      <c r="A58" s="10">
        <f>ROW(Tabela1[[#This Row],[Toolbox No / Container No]])-1</f>
        <v>57</v>
      </c>
      <c r="B58" s="10" t="s">
        <v>172</v>
      </c>
      <c r="C58" s="10" t="s">
        <v>750</v>
      </c>
      <c r="D58" s="10" t="s">
        <v>173</v>
      </c>
      <c r="E58" s="10" t="s">
        <v>615</v>
      </c>
      <c r="F58" s="10" t="s">
        <v>821</v>
      </c>
      <c r="G58" s="10" t="s">
        <v>765</v>
      </c>
      <c r="H58" s="10"/>
      <c r="I58" s="4" t="s">
        <v>822</v>
      </c>
      <c r="J58" s="12">
        <v>45789.614583333336</v>
      </c>
      <c r="K58" s="13">
        <f>EDATE(Tabela1[[#This Row],[Data da calibração/certificação ]],12)</f>
        <v>46154</v>
      </c>
      <c r="L58" s="14">
        <f ca="1">INT(Tabela1[[#This Row],[Próxima data de calibração/certificação]]-TODAY())</f>
        <v>224</v>
      </c>
      <c r="M58" s="16" t="s">
        <v>823</v>
      </c>
      <c r="N58" s="16" t="s">
        <v>591</v>
      </c>
      <c r="O58" s="16" t="s">
        <v>761</v>
      </c>
      <c r="P58" s="9" t="s">
        <v>10</v>
      </c>
      <c r="Q58" s="16" t="s">
        <v>514</v>
      </c>
      <c r="R58" s="16" t="s">
        <v>365</v>
      </c>
    </row>
    <row r="59" spans="1:18" x14ac:dyDescent="0.25">
      <c r="A59" s="10">
        <f>ROW(Tabela1[[#This Row],[Toolbox No / Container No]])-1</f>
        <v>58</v>
      </c>
      <c r="B59" s="10" t="s">
        <v>174</v>
      </c>
      <c r="C59" s="10" t="s">
        <v>750</v>
      </c>
      <c r="D59" s="10" t="s">
        <v>756</v>
      </c>
      <c r="E59" s="10" t="s">
        <v>615</v>
      </c>
      <c r="F59" s="10" t="s">
        <v>818</v>
      </c>
      <c r="G59" s="10" t="s">
        <v>752</v>
      </c>
      <c r="H59" s="10"/>
      <c r="I59" s="4" t="s">
        <v>824</v>
      </c>
      <c r="J59" s="12">
        <v>45789.484722222223</v>
      </c>
      <c r="K59" s="13">
        <f>EDATE(Tabela1[[#This Row],[Data da calibração/certificação ]],12)</f>
        <v>46154</v>
      </c>
      <c r="L59" s="14">
        <f ca="1">INT(Tabela1[[#This Row],[Próxima data de calibração/certificação]]-TODAY())</f>
        <v>224</v>
      </c>
      <c r="M59" s="16" t="s">
        <v>825</v>
      </c>
      <c r="N59" s="16" t="s">
        <v>586</v>
      </c>
      <c r="O59" s="16" t="s">
        <v>761</v>
      </c>
      <c r="P59" s="9" t="s">
        <v>10</v>
      </c>
      <c r="Q59" s="16" t="s">
        <v>514</v>
      </c>
      <c r="R59" s="16" t="s">
        <v>366</v>
      </c>
    </row>
    <row r="60" spans="1:18" x14ac:dyDescent="0.25">
      <c r="A60" s="10">
        <f>ROW(Tabela1[[#This Row],[Toolbox No / Container No]])-1</f>
        <v>59</v>
      </c>
      <c r="B60" s="10" t="s">
        <v>49</v>
      </c>
      <c r="C60" s="10" t="s">
        <v>826</v>
      </c>
      <c r="D60" s="10" t="s">
        <v>827</v>
      </c>
      <c r="E60" s="10" t="s">
        <v>615</v>
      </c>
      <c r="F60" s="10" t="s">
        <v>828</v>
      </c>
      <c r="G60" s="10" t="s">
        <v>829</v>
      </c>
      <c r="H60" s="10" t="s">
        <v>50</v>
      </c>
      <c r="I60" s="4" t="s">
        <v>830</v>
      </c>
      <c r="J60" s="12">
        <v>45727.383333333331</v>
      </c>
      <c r="K60" s="13">
        <f>EDATE(Tabela1[[#This Row],[Data da calibração/certificação ]],12)</f>
        <v>46092</v>
      </c>
      <c r="L60" s="14">
        <f ca="1">INT(Tabela1[[#This Row],[Próxima data de calibração/certificação]]-TODAY())</f>
        <v>162</v>
      </c>
      <c r="M60" s="16" t="s">
        <v>831</v>
      </c>
      <c r="N60" s="16" t="s">
        <v>586</v>
      </c>
      <c r="O60" s="16" t="s">
        <v>832</v>
      </c>
      <c r="P60" s="9" t="s">
        <v>10</v>
      </c>
      <c r="Q60" s="16" t="s">
        <v>515</v>
      </c>
      <c r="R60" s="16" t="s">
        <v>367</v>
      </c>
    </row>
    <row r="61" spans="1:18" x14ac:dyDescent="0.25">
      <c r="A61" s="10">
        <f>ROW(Tabela1[[#This Row],[Toolbox No / Container No]])-1</f>
        <v>60</v>
      </c>
      <c r="B61" s="15" t="s">
        <v>254</v>
      </c>
      <c r="C61" s="15" t="s">
        <v>826</v>
      </c>
      <c r="D61" s="15" t="s">
        <v>56</v>
      </c>
      <c r="E61" s="15" t="s">
        <v>833</v>
      </c>
      <c r="F61" s="15" t="s">
        <v>834</v>
      </c>
      <c r="G61" s="15" t="s">
        <v>829</v>
      </c>
      <c r="H61" s="15" t="s">
        <v>255</v>
      </c>
      <c r="I61" s="3" t="s">
        <v>835</v>
      </c>
      <c r="J61" s="13">
        <v>45672.472916666666</v>
      </c>
      <c r="K61" s="13">
        <f>EDATE(Tabela1[[#This Row],[Data da calibração/certificação ]],12)</f>
        <v>46037</v>
      </c>
      <c r="L61" s="14">
        <f ca="1">INT(Tabela1[[#This Row],[Próxima data de calibração/certificação]]-TODAY())</f>
        <v>107</v>
      </c>
      <c r="M61" s="16" t="s">
        <v>836</v>
      </c>
      <c r="N61" s="16" t="s">
        <v>586</v>
      </c>
      <c r="O61" s="16" t="s">
        <v>837</v>
      </c>
      <c r="P61" s="9" t="s">
        <v>10</v>
      </c>
      <c r="Q61" s="16" t="s">
        <v>516</v>
      </c>
      <c r="R61" s="16" t="s">
        <v>368</v>
      </c>
    </row>
    <row r="62" spans="1:18" x14ac:dyDescent="0.25">
      <c r="A62" s="10">
        <f>ROW(Tabela1[[#This Row],[Toolbox No / Container No]])-1</f>
        <v>61</v>
      </c>
      <c r="B62" s="15" t="s">
        <v>142</v>
      </c>
      <c r="C62" s="15" t="s">
        <v>838</v>
      </c>
      <c r="D62" s="15" t="s">
        <v>839</v>
      </c>
      <c r="E62" s="15" t="s">
        <v>840</v>
      </c>
      <c r="F62" s="15" t="s">
        <v>841</v>
      </c>
      <c r="G62" s="15" t="s">
        <v>741</v>
      </c>
      <c r="H62" s="15"/>
      <c r="I62" s="3">
        <v>2500176</v>
      </c>
      <c r="J62" s="13">
        <v>45674.376388888886</v>
      </c>
      <c r="K62" s="13">
        <f>EDATE(Tabela1[[#This Row],[Data da calibração/certificação ]],12)</f>
        <v>46039</v>
      </c>
      <c r="L62" s="14">
        <f ca="1">INT(Tabela1[[#This Row],[Próxima data de calibração/certificação]]-TODAY())</f>
        <v>109</v>
      </c>
      <c r="M62" s="16" t="s">
        <v>842</v>
      </c>
      <c r="N62" s="16" t="s">
        <v>586</v>
      </c>
      <c r="O62" s="16" t="s">
        <v>843</v>
      </c>
      <c r="P62" s="9" t="s">
        <v>10</v>
      </c>
      <c r="Q62" s="16" t="s">
        <v>517</v>
      </c>
      <c r="R62" s="16" t="s">
        <v>369</v>
      </c>
    </row>
    <row r="63" spans="1:18" x14ac:dyDescent="0.25">
      <c r="A63" s="10">
        <f>ROW(Tabela1[[#This Row],[Toolbox No / Container No]])-1</f>
        <v>62</v>
      </c>
      <c r="B63" s="10" t="s">
        <v>225</v>
      </c>
      <c r="C63" s="10" t="s">
        <v>826</v>
      </c>
      <c r="D63" s="10" t="s">
        <v>580</v>
      </c>
      <c r="E63" s="10" t="s">
        <v>844</v>
      </c>
      <c r="F63" s="10" t="s">
        <v>845</v>
      </c>
      <c r="G63" s="10" t="s">
        <v>846</v>
      </c>
      <c r="H63" s="10" t="s">
        <v>226</v>
      </c>
      <c r="I63" s="4" t="s">
        <v>847</v>
      </c>
      <c r="J63" s="12">
        <v>45672.413888888892</v>
      </c>
      <c r="K63" s="13">
        <f>EDATE(Tabela1[[#This Row],[Data da calibração/certificação ]],12)</f>
        <v>46037</v>
      </c>
      <c r="L63" s="14">
        <f ca="1">INT(Tabela1[[#This Row],[Próxima data de calibração/certificação]]-TODAY())</f>
        <v>107</v>
      </c>
      <c r="M63" s="16" t="s">
        <v>848</v>
      </c>
      <c r="N63" s="16" t="s">
        <v>586</v>
      </c>
      <c r="O63" s="16" t="s">
        <v>849</v>
      </c>
      <c r="P63" s="9" t="s">
        <v>10</v>
      </c>
      <c r="Q63" s="16" t="s">
        <v>518</v>
      </c>
      <c r="R63" s="16" t="s">
        <v>370</v>
      </c>
    </row>
    <row r="64" spans="1:18" x14ac:dyDescent="0.25">
      <c r="A64" s="10">
        <f>ROW(Tabela1[[#This Row],[Toolbox No / Container No]])-1</f>
        <v>63</v>
      </c>
      <c r="B64" s="15" t="s">
        <v>256</v>
      </c>
      <c r="C64" s="15" t="s">
        <v>850</v>
      </c>
      <c r="D64" s="15" t="s">
        <v>56</v>
      </c>
      <c r="E64" s="15" t="s">
        <v>851</v>
      </c>
      <c r="F64" s="15" t="s">
        <v>852</v>
      </c>
      <c r="G64" s="15" t="s">
        <v>741</v>
      </c>
      <c r="H64" s="15" t="s">
        <v>257</v>
      </c>
      <c r="I64" s="3" t="s">
        <v>853</v>
      </c>
      <c r="J64" s="13">
        <v>45632.905555555553</v>
      </c>
      <c r="K64" s="13">
        <f>EDATE(Tabela1[[#This Row],[Data da calibração/certificação ]],12)</f>
        <v>45997</v>
      </c>
      <c r="L64" s="14">
        <f ca="1">INT(Tabela1[[#This Row],[Próxima data de calibração/certificação]]-TODAY())</f>
        <v>67</v>
      </c>
      <c r="M64" s="16" t="s">
        <v>854</v>
      </c>
      <c r="N64" s="16" t="s">
        <v>586</v>
      </c>
      <c r="O64" s="16" t="s">
        <v>855</v>
      </c>
      <c r="P64" s="9" t="s">
        <v>10</v>
      </c>
      <c r="Q64" s="16" t="s">
        <v>519</v>
      </c>
      <c r="R64" s="16" t="s">
        <v>371</v>
      </c>
    </row>
    <row r="65" spans="1:18" x14ac:dyDescent="0.25">
      <c r="A65" s="10">
        <f>ROW(Tabela1[[#This Row],[Toolbox No / Container No]])-1</f>
        <v>64</v>
      </c>
      <c r="B65" s="10" t="s">
        <v>80</v>
      </c>
      <c r="C65" s="10" t="s">
        <v>856</v>
      </c>
      <c r="D65" s="10" t="s">
        <v>857</v>
      </c>
      <c r="E65" s="10" t="s">
        <v>858</v>
      </c>
      <c r="F65" s="10" t="s">
        <v>859</v>
      </c>
      <c r="G65" s="10" t="s">
        <v>860</v>
      </c>
      <c r="H65" s="10" t="s">
        <v>81</v>
      </c>
      <c r="I65" s="4" t="s">
        <v>861</v>
      </c>
      <c r="J65" s="12">
        <v>45861.572916666664</v>
      </c>
      <c r="K65" s="13">
        <f>EDATE(Tabela1[[#This Row],[Data da calibração/certificação ]],12)</f>
        <v>46226</v>
      </c>
      <c r="L65" s="14">
        <f ca="1">INT(Tabela1[[#This Row],[Próxima data de calibração/certificação]]-TODAY())</f>
        <v>296</v>
      </c>
      <c r="M65" s="16" t="s">
        <v>862</v>
      </c>
      <c r="N65" s="16" t="s">
        <v>586</v>
      </c>
      <c r="O65" s="16" t="s">
        <v>863</v>
      </c>
      <c r="P65" s="9" t="s">
        <v>10</v>
      </c>
      <c r="Q65" s="16" t="s">
        <v>520</v>
      </c>
      <c r="R65" s="16" t="s">
        <v>372</v>
      </c>
    </row>
    <row r="66" spans="1:18" x14ac:dyDescent="0.25">
      <c r="A66" s="10">
        <f>ROW(Tabela1[[#This Row],[Toolbox No / Container No]])-1</f>
        <v>65</v>
      </c>
      <c r="B66" s="15" t="s">
        <v>235</v>
      </c>
      <c r="C66" s="15" t="s">
        <v>856</v>
      </c>
      <c r="D66" s="15" t="s">
        <v>827</v>
      </c>
      <c r="E66" s="15" t="s">
        <v>864</v>
      </c>
      <c r="F66" s="15" t="s">
        <v>865</v>
      </c>
      <c r="G66" s="15" t="s">
        <v>741</v>
      </c>
      <c r="H66" s="15" t="s">
        <v>236</v>
      </c>
      <c r="I66" s="5" t="s">
        <v>866</v>
      </c>
      <c r="J66" s="13">
        <v>45705.368750000001</v>
      </c>
      <c r="K66" s="13">
        <f>EDATE(Tabela1[[#This Row],[Data da calibração/certificação ]],12)</f>
        <v>46070</v>
      </c>
      <c r="L66" s="14">
        <f ca="1">INT(Tabela1[[#This Row],[Próxima data de calibração/certificação]]-TODAY())</f>
        <v>140</v>
      </c>
      <c r="M66" s="16" t="s">
        <v>867</v>
      </c>
      <c r="N66" s="16" t="s">
        <v>586</v>
      </c>
      <c r="O66" s="16" t="s">
        <v>868</v>
      </c>
      <c r="P66" s="9" t="s">
        <v>10</v>
      </c>
      <c r="Q66" s="16" t="s">
        <v>521</v>
      </c>
      <c r="R66" s="16" t="s">
        <v>373</v>
      </c>
    </row>
    <row r="67" spans="1:18" x14ac:dyDescent="0.25">
      <c r="A67" s="10">
        <f>ROW(Tabela1[[#This Row],[Toolbox No / Container No]])-1</f>
        <v>66</v>
      </c>
      <c r="B67" s="15" t="s">
        <v>237</v>
      </c>
      <c r="C67" s="15" t="s">
        <v>856</v>
      </c>
      <c r="D67" s="15" t="s">
        <v>827</v>
      </c>
      <c r="E67" s="15" t="s">
        <v>864</v>
      </c>
      <c r="F67" s="15" t="s">
        <v>865</v>
      </c>
      <c r="G67" s="15" t="s">
        <v>741</v>
      </c>
      <c r="H67" s="15" t="s">
        <v>238</v>
      </c>
      <c r="I67" s="5" t="s">
        <v>869</v>
      </c>
      <c r="J67" s="13">
        <v>45705.368750000001</v>
      </c>
      <c r="K67" s="13">
        <f>EDATE(Tabela1[[#This Row],[Data da calibração/certificação ]],12)</f>
        <v>46070</v>
      </c>
      <c r="L67" s="14">
        <f ca="1">INT(Tabela1[[#This Row],[Próxima data de calibração/certificação]]-TODAY())</f>
        <v>140</v>
      </c>
      <c r="M67" s="16" t="s">
        <v>870</v>
      </c>
      <c r="N67" s="16" t="s">
        <v>586</v>
      </c>
      <c r="O67" s="16" t="s">
        <v>868</v>
      </c>
      <c r="P67" s="9" t="s">
        <v>10</v>
      </c>
      <c r="Q67" s="16" t="s">
        <v>521</v>
      </c>
      <c r="R67" s="16" t="s">
        <v>374</v>
      </c>
    </row>
    <row r="68" spans="1:18" x14ac:dyDescent="0.25">
      <c r="A68" s="10">
        <f>ROW(Tabela1[[#This Row],[Toolbox No / Container No]])-1</f>
        <v>67</v>
      </c>
      <c r="B68" s="10" t="s">
        <v>199</v>
      </c>
      <c r="C68" s="10" t="s">
        <v>871</v>
      </c>
      <c r="D68" s="10" t="s">
        <v>872</v>
      </c>
      <c r="E68" s="10" t="s">
        <v>615</v>
      </c>
      <c r="F68" s="10" t="s">
        <v>873</v>
      </c>
      <c r="G68" s="10" t="s">
        <v>874</v>
      </c>
      <c r="H68" s="10" t="s">
        <v>200</v>
      </c>
      <c r="I68" s="4" t="s">
        <v>875</v>
      </c>
      <c r="J68" s="12">
        <v>45779.46875</v>
      </c>
      <c r="K68" s="13">
        <f>EDATE(Tabela1[[#This Row],[Data da calibração/certificação ]],12)</f>
        <v>46144</v>
      </c>
      <c r="L68" s="14">
        <f ca="1">INT(Tabela1[[#This Row],[Próxima data de calibração/certificação]]-TODAY())</f>
        <v>214</v>
      </c>
      <c r="M68" s="16" t="s">
        <v>876</v>
      </c>
      <c r="N68" s="16" t="s">
        <v>586</v>
      </c>
      <c r="O68" s="16" t="s">
        <v>877</v>
      </c>
      <c r="P68" s="9" t="s">
        <v>10</v>
      </c>
      <c r="Q68" s="16" t="s">
        <v>522</v>
      </c>
      <c r="R68" s="16" t="s">
        <v>375</v>
      </c>
    </row>
    <row r="69" spans="1:18" x14ac:dyDescent="0.25">
      <c r="A69" s="10">
        <f>ROW(Tabela1[[#This Row],[Toolbox No / Container No]])-1</f>
        <v>68</v>
      </c>
      <c r="B69" s="10" t="s">
        <v>227</v>
      </c>
      <c r="C69" s="10" t="s">
        <v>878</v>
      </c>
      <c r="D69" s="10" t="s">
        <v>879</v>
      </c>
      <c r="E69" s="10" t="s">
        <v>615</v>
      </c>
      <c r="F69" s="10" t="s">
        <v>688</v>
      </c>
      <c r="G69" s="10" t="s">
        <v>880</v>
      </c>
      <c r="H69" s="10" t="s">
        <v>228</v>
      </c>
      <c r="I69" s="4" t="s">
        <v>881</v>
      </c>
      <c r="J69" s="12">
        <v>45770.875694444447</v>
      </c>
      <c r="K69" s="13">
        <f>EDATE(Tabela1[[#This Row],[Data da calibração/certificação ]],12)</f>
        <v>46135</v>
      </c>
      <c r="L69" s="14">
        <f ca="1">INT(Tabela1[[#This Row],[Próxima data de calibração/certificação]]-TODAY())</f>
        <v>205</v>
      </c>
      <c r="M69" s="16" t="s">
        <v>882</v>
      </c>
      <c r="N69" s="16" t="s">
        <v>586</v>
      </c>
      <c r="O69" s="16" t="s">
        <v>686</v>
      </c>
      <c r="P69" s="9" t="s">
        <v>10</v>
      </c>
      <c r="Q69" s="16" t="s">
        <v>522</v>
      </c>
      <c r="R69" s="16" t="s">
        <v>376</v>
      </c>
    </row>
    <row r="70" spans="1:18" x14ac:dyDescent="0.25">
      <c r="A70" s="10">
        <f>ROW(Tabela1[[#This Row],[Toolbox No / Container No]])-1</f>
        <v>69</v>
      </c>
      <c r="B70" s="15" t="s">
        <v>258</v>
      </c>
      <c r="C70" s="15" t="s">
        <v>883</v>
      </c>
      <c r="D70" s="15" t="s">
        <v>879</v>
      </c>
      <c r="E70" s="15" t="s">
        <v>615</v>
      </c>
      <c r="F70" s="15" t="s">
        <v>884</v>
      </c>
      <c r="G70" s="15" t="s">
        <v>741</v>
      </c>
      <c r="H70" s="15" t="s">
        <v>276</v>
      </c>
      <c r="I70" s="6" t="s">
        <v>885</v>
      </c>
      <c r="J70" s="13">
        <v>45663.425000000003</v>
      </c>
      <c r="K70" s="13">
        <f>EDATE(Tabela1[[#This Row],[Data da calibração/certificação ]],12)</f>
        <v>46028</v>
      </c>
      <c r="L70" s="14">
        <f ca="1">INT(Tabela1[[#This Row],[Próxima data de calibração/certificação]]-TODAY())</f>
        <v>98</v>
      </c>
      <c r="M70" s="16" t="s">
        <v>886</v>
      </c>
      <c r="N70" s="16" t="s">
        <v>586</v>
      </c>
      <c r="O70" s="16" t="s">
        <v>887</v>
      </c>
      <c r="P70" s="9" t="s">
        <v>10</v>
      </c>
      <c r="Q70" s="16" t="s">
        <v>523</v>
      </c>
      <c r="R70" s="16" t="s">
        <v>377</v>
      </c>
    </row>
    <row r="71" spans="1:18" x14ac:dyDescent="0.25">
      <c r="A71" s="10">
        <f>ROW(Tabela1[[#This Row],[Toolbox No / Container No]])-1</f>
        <v>70</v>
      </c>
      <c r="B71" s="15" t="s">
        <v>258</v>
      </c>
      <c r="C71" s="15" t="s">
        <v>888</v>
      </c>
      <c r="D71" s="15" t="s">
        <v>879</v>
      </c>
      <c r="E71" s="15" t="s">
        <v>615</v>
      </c>
      <c r="F71" s="15" t="s">
        <v>889</v>
      </c>
      <c r="G71" s="15" t="s">
        <v>880</v>
      </c>
      <c r="H71" s="15" t="s">
        <v>277</v>
      </c>
      <c r="I71" s="6" t="s">
        <v>890</v>
      </c>
      <c r="J71" s="13">
        <v>45663.426388888889</v>
      </c>
      <c r="K71" s="13">
        <f>EDATE(Tabela1[[#This Row],[Data da calibração/certificação ]],12)</f>
        <v>46028</v>
      </c>
      <c r="L71" s="14">
        <f ca="1">INT(Tabela1[[#This Row],[Próxima data de calibração/certificação]]-TODAY())</f>
        <v>98</v>
      </c>
      <c r="M71" s="16" t="s">
        <v>891</v>
      </c>
      <c r="N71" s="16" t="s">
        <v>586</v>
      </c>
      <c r="O71" s="16" t="s">
        <v>892</v>
      </c>
      <c r="P71" s="9" t="s">
        <v>10</v>
      </c>
      <c r="Q71" s="16" t="s">
        <v>523</v>
      </c>
      <c r="R71" s="16" t="s">
        <v>377</v>
      </c>
    </row>
    <row r="72" spans="1:18" x14ac:dyDescent="0.25">
      <c r="A72" s="10">
        <f>ROW(Tabela1[[#This Row],[Toolbox No / Container No]])-1</f>
        <v>71</v>
      </c>
      <c r="B72" s="15" t="s">
        <v>258</v>
      </c>
      <c r="C72" s="15" t="s">
        <v>888</v>
      </c>
      <c r="D72" s="15" t="s">
        <v>879</v>
      </c>
      <c r="E72" s="15" t="s">
        <v>615</v>
      </c>
      <c r="F72" s="15" t="s">
        <v>893</v>
      </c>
      <c r="G72" s="15" t="s">
        <v>880</v>
      </c>
      <c r="H72" s="15" t="s">
        <v>278</v>
      </c>
      <c r="I72" s="6" t="s">
        <v>894</v>
      </c>
      <c r="J72" s="13">
        <v>45663.427083333336</v>
      </c>
      <c r="K72" s="13">
        <f>EDATE(Tabela1[[#This Row],[Data da calibração/certificação ]],12)</f>
        <v>46028</v>
      </c>
      <c r="L72" s="14">
        <f ca="1">INT(Tabela1[[#This Row],[Próxima data de calibração/certificação]]-TODAY())</f>
        <v>98</v>
      </c>
      <c r="M72" s="16" t="s">
        <v>895</v>
      </c>
      <c r="N72" s="16" t="s">
        <v>586</v>
      </c>
      <c r="O72" s="16" t="s">
        <v>892</v>
      </c>
      <c r="P72" s="9" t="s">
        <v>10</v>
      </c>
      <c r="Q72" s="16" t="s">
        <v>523</v>
      </c>
      <c r="R72" s="16" t="s">
        <v>377</v>
      </c>
    </row>
    <row r="73" spans="1:18" x14ac:dyDescent="0.25">
      <c r="A73" s="10">
        <f>ROW(Tabela1[[#This Row],[Toolbox No / Container No]])-1</f>
        <v>72</v>
      </c>
      <c r="B73" s="15" t="s">
        <v>258</v>
      </c>
      <c r="C73" s="15" t="s">
        <v>888</v>
      </c>
      <c r="D73" s="15" t="s">
        <v>879</v>
      </c>
      <c r="E73" s="15" t="s">
        <v>615</v>
      </c>
      <c r="F73" s="15" t="s">
        <v>896</v>
      </c>
      <c r="G73" s="15" t="s">
        <v>880</v>
      </c>
      <c r="H73" s="15" t="s">
        <v>279</v>
      </c>
      <c r="I73" s="6" t="s">
        <v>897</v>
      </c>
      <c r="J73" s="13">
        <v>45663.433333333334</v>
      </c>
      <c r="K73" s="13">
        <f>EDATE(Tabela1[[#This Row],[Data da calibração/certificação ]],12)</f>
        <v>46028</v>
      </c>
      <c r="L73" s="14">
        <f ca="1">INT(Tabela1[[#This Row],[Próxima data de calibração/certificação]]-TODAY())</f>
        <v>98</v>
      </c>
      <c r="M73" s="16" t="s">
        <v>898</v>
      </c>
      <c r="N73" s="16" t="s">
        <v>586</v>
      </c>
      <c r="O73" s="16" t="s">
        <v>899</v>
      </c>
      <c r="P73" s="9" t="s">
        <v>10</v>
      </c>
      <c r="Q73" s="16" t="s">
        <v>523</v>
      </c>
      <c r="R73" s="16" t="s">
        <v>377</v>
      </c>
    </row>
    <row r="74" spans="1:18" x14ac:dyDescent="0.25">
      <c r="A74" s="10">
        <f>ROW(Tabela1[[#This Row],[Toolbox No / Container No]])-1</f>
        <v>73</v>
      </c>
      <c r="B74" s="15" t="s">
        <v>258</v>
      </c>
      <c r="C74" s="15" t="s">
        <v>888</v>
      </c>
      <c r="D74" s="15" t="s">
        <v>879</v>
      </c>
      <c r="E74" s="15" t="s">
        <v>615</v>
      </c>
      <c r="F74" s="15" t="s">
        <v>900</v>
      </c>
      <c r="G74" s="15" t="s">
        <v>880</v>
      </c>
      <c r="H74" s="15" t="s">
        <v>280</v>
      </c>
      <c r="I74" s="6" t="s">
        <v>901</v>
      </c>
      <c r="J74" s="13">
        <v>45663.434027777781</v>
      </c>
      <c r="K74" s="13">
        <f>EDATE(Tabela1[[#This Row],[Data da calibração/certificação ]],12)</f>
        <v>46028</v>
      </c>
      <c r="L74" s="14">
        <f ca="1">INT(Tabela1[[#This Row],[Próxima data de calibração/certificação]]-TODAY())</f>
        <v>98</v>
      </c>
      <c r="M74" s="16" t="s">
        <v>902</v>
      </c>
      <c r="N74" s="16" t="s">
        <v>586</v>
      </c>
      <c r="O74" s="16" t="s">
        <v>892</v>
      </c>
      <c r="P74" s="9" t="s">
        <v>10</v>
      </c>
      <c r="Q74" s="16" t="s">
        <v>523</v>
      </c>
      <c r="R74" s="16" t="s">
        <v>377</v>
      </c>
    </row>
    <row r="75" spans="1:18" x14ac:dyDescent="0.25">
      <c r="A75" s="10">
        <f>ROW(Tabela1[[#This Row],[Toolbox No / Container No]])-1</f>
        <v>74</v>
      </c>
      <c r="B75" s="15" t="s">
        <v>258</v>
      </c>
      <c r="C75" s="15" t="s">
        <v>888</v>
      </c>
      <c r="D75" s="15" t="s">
        <v>879</v>
      </c>
      <c r="E75" s="15" t="s">
        <v>615</v>
      </c>
      <c r="F75" s="15" t="s">
        <v>903</v>
      </c>
      <c r="G75" s="15" t="s">
        <v>874</v>
      </c>
      <c r="H75" s="15" t="s">
        <v>281</v>
      </c>
      <c r="I75" s="6" t="s">
        <v>904</v>
      </c>
      <c r="J75" s="13">
        <v>45663.435416666667</v>
      </c>
      <c r="K75" s="13">
        <f>EDATE(Tabela1[[#This Row],[Data da calibração/certificação ]],12)</f>
        <v>46028</v>
      </c>
      <c r="L75" s="14">
        <f ca="1">INT(Tabela1[[#This Row],[Próxima data de calibração/certificação]]-TODAY())</f>
        <v>98</v>
      </c>
      <c r="M75" s="16" t="s">
        <v>902</v>
      </c>
      <c r="N75" s="16" t="s">
        <v>586</v>
      </c>
      <c r="O75" s="16" t="s">
        <v>892</v>
      </c>
      <c r="P75" s="9" t="s">
        <v>10</v>
      </c>
      <c r="Q75" s="16" t="s">
        <v>523</v>
      </c>
      <c r="R75" s="16" t="s">
        <v>377</v>
      </c>
    </row>
    <row r="76" spans="1:18" x14ac:dyDescent="0.25">
      <c r="A76" s="10">
        <f>ROW(Tabela1[[#This Row],[Toolbox No / Container No]])-1</f>
        <v>75</v>
      </c>
      <c r="B76" s="15" t="s">
        <v>258</v>
      </c>
      <c r="C76" s="15" t="s">
        <v>888</v>
      </c>
      <c r="D76" s="15" t="s">
        <v>879</v>
      </c>
      <c r="E76" s="15" t="s">
        <v>615</v>
      </c>
      <c r="F76" s="15" t="s">
        <v>905</v>
      </c>
      <c r="G76" s="15" t="s">
        <v>880</v>
      </c>
      <c r="H76" s="15" t="s">
        <v>259</v>
      </c>
      <c r="I76" s="3" t="s">
        <v>906</v>
      </c>
      <c r="J76" s="13">
        <v>45663.438194444447</v>
      </c>
      <c r="K76" s="13">
        <f>EDATE(Tabela1[[#This Row],[Data da calibração/certificação ]],12)</f>
        <v>46028</v>
      </c>
      <c r="L76" s="14">
        <f ca="1">INT(Tabela1[[#This Row],[Próxima data de calibração/certificação]]-TODAY())</f>
        <v>98</v>
      </c>
      <c r="M76" s="16" t="s">
        <v>902</v>
      </c>
      <c r="N76" s="16" t="s">
        <v>586</v>
      </c>
      <c r="O76" s="16" t="s">
        <v>892</v>
      </c>
      <c r="P76" s="9" t="s">
        <v>10</v>
      </c>
      <c r="Q76" s="16" t="s">
        <v>523</v>
      </c>
      <c r="R76" s="16" t="s">
        <v>377</v>
      </c>
    </row>
    <row r="77" spans="1:18" x14ac:dyDescent="0.25">
      <c r="A77" s="10">
        <f>ROW(Tabela1[[#This Row],[Toolbox No / Container No]])-1</f>
        <v>76</v>
      </c>
      <c r="B77" s="15" t="s">
        <v>258</v>
      </c>
      <c r="C77" s="15" t="s">
        <v>883</v>
      </c>
      <c r="D77" s="15" t="s">
        <v>879</v>
      </c>
      <c r="E77" s="15" t="s">
        <v>615</v>
      </c>
      <c r="F77" s="15" t="s">
        <v>907</v>
      </c>
      <c r="G77" s="15" t="s">
        <v>741</v>
      </c>
      <c r="H77" s="15" t="s">
        <v>282</v>
      </c>
      <c r="I77" s="6" t="s">
        <v>908</v>
      </c>
      <c r="J77" s="13">
        <v>45663.448611111111</v>
      </c>
      <c r="K77" s="13">
        <f>EDATE(Tabela1[[#This Row],[Data da calibração/certificação ]],12)</f>
        <v>46028</v>
      </c>
      <c r="L77" s="14">
        <f ca="1">INT(Tabela1[[#This Row],[Próxima data de calibração/certificação]]-TODAY())</f>
        <v>98</v>
      </c>
      <c r="M77" s="16" t="s">
        <v>909</v>
      </c>
      <c r="N77" s="16" t="s">
        <v>586</v>
      </c>
      <c r="O77" s="16" t="s">
        <v>887</v>
      </c>
      <c r="P77" s="9" t="s">
        <v>10</v>
      </c>
      <c r="Q77" s="16" t="s">
        <v>523</v>
      </c>
      <c r="R77" s="16" t="s">
        <v>377</v>
      </c>
    </row>
    <row r="78" spans="1:18" x14ac:dyDescent="0.25">
      <c r="A78" s="10">
        <f>ROW(Tabela1[[#This Row],[Toolbox No / Container No]])-1</f>
        <v>77</v>
      </c>
      <c r="B78" s="15" t="s">
        <v>258</v>
      </c>
      <c r="C78" s="15" t="s">
        <v>888</v>
      </c>
      <c r="D78" s="15" t="s">
        <v>879</v>
      </c>
      <c r="E78" s="15" t="s">
        <v>615</v>
      </c>
      <c r="F78" s="15" t="s">
        <v>910</v>
      </c>
      <c r="G78" s="15" t="s">
        <v>880</v>
      </c>
      <c r="H78" s="15" t="s">
        <v>260</v>
      </c>
      <c r="I78" s="3" t="s">
        <v>911</v>
      </c>
      <c r="J78" s="13">
        <v>45663.440972222219</v>
      </c>
      <c r="K78" s="13">
        <f>EDATE(Tabela1[[#This Row],[Data da calibração/certificação ]],12)</f>
        <v>46028</v>
      </c>
      <c r="L78" s="14">
        <f ca="1">INT(Tabela1[[#This Row],[Próxima data de calibração/certificação]]-TODAY())</f>
        <v>98</v>
      </c>
      <c r="M78" s="16" t="s">
        <v>895</v>
      </c>
      <c r="N78" s="16" t="s">
        <v>586</v>
      </c>
      <c r="O78" s="16" t="s">
        <v>892</v>
      </c>
      <c r="P78" s="9" t="s">
        <v>10</v>
      </c>
      <c r="Q78" s="16" t="s">
        <v>523</v>
      </c>
      <c r="R78" s="16" t="s">
        <v>377</v>
      </c>
    </row>
    <row r="79" spans="1:18" x14ac:dyDescent="0.25">
      <c r="A79" s="10">
        <f>ROW(Tabela1[[#This Row],[Toolbox No / Container No]])-1</f>
        <v>78</v>
      </c>
      <c r="B79" s="15" t="s">
        <v>258</v>
      </c>
      <c r="C79" s="15" t="s">
        <v>888</v>
      </c>
      <c r="D79" s="15" t="s">
        <v>879</v>
      </c>
      <c r="E79" s="15" t="s">
        <v>615</v>
      </c>
      <c r="F79" s="15" t="s">
        <v>912</v>
      </c>
      <c r="G79" s="15" t="s">
        <v>880</v>
      </c>
      <c r="H79" s="15" t="s">
        <v>261</v>
      </c>
      <c r="I79" s="3" t="s">
        <v>913</v>
      </c>
      <c r="J79" s="13">
        <v>45663.450694444444</v>
      </c>
      <c r="K79" s="13">
        <f>EDATE(Tabela1[[#This Row],[Data da calibração/certificação ]],12)</f>
        <v>46028</v>
      </c>
      <c r="L79" s="14">
        <f ca="1">INT(Tabela1[[#This Row],[Próxima data de calibração/certificação]]-TODAY())</f>
        <v>98</v>
      </c>
      <c r="M79" s="16" t="s">
        <v>914</v>
      </c>
      <c r="N79" s="16" t="s">
        <v>586</v>
      </c>
      <c r="O79" s="16" t="s">
        <v>892</v>
      </c>
      <c r="P79" s="9" t="s">
        <v>10</v>
      </c>
      <c r="Q79" s="16" t="s">
        <v>523</v>
      </c>
      <c r="R79" s="16" t="s">
        <v>377</v>
      </c>
    </row>
    <row r="80" spans="1:18" x14ac:dyDescent="0.25">
      <c r="A80" s="10">
        <f>ROW(Tabela1[[#This Row],[Toolbox No / Container No]])-1</f>
        <v>79</v>
      </c>
      <c r="B80" s="15" t="s">
        <v>274</v>
      </c>
      <c r="C80" s="15" t="s">
        <v>888</v>
      </c>
      <c r="D80" s="15" t="s">
        <v>14</v>
      </c>
      <c r="E80" s="15" t="s">
        <v>915</v>
      </c>
      <c r="F80" s="15" t="s">
        <v>916</v>
      </c>
      <c r="G80" s="15" t="s">
        <v>880</v>
      </c>
      <c r="H80" s="15" t="s">
        <v>275</v>
      </c>
      <c r="I80" s="6" t="s">
        <v>917</v>
      </c>
      <c r="J80" s="13">
        <v>45800.620833333334</v>
      </c>
      <c r="K80" s="13">
        <f>EDATE(Tabela1[[#This Row],[Data da calibração/certificação ]],12)</f>
        <v>46165</v>
      </c>
      <c r="L80" s="14">
        <f ca="1">INT(Tabela1[[#This Row],[Próxima data de calibração/certificação]]-TODAY())</f>
        <v>235</v>
      </c>
      <c r="M80" s="16" t="s">
        <v>918</v>
      </c>
      <c r="N80" s="16" t="s">
        <v>586</v>
      </c>
      <c r="O80" s="16" t="s">
        <v>919</v>
      </c>
      <c r="P80" s="9" t="s">
        <v>10</v>
      </c>
      <c r="Q80" s="16" t="s">
        <v>523</v>
      </c>
      <c r="R80" s="16" t="s">
        <v>378</v>
      </c>
    </row>
    <row r="81" spans="1:18" x14ac:dyDescent="0.25">
      <c r="A81" s="10">
        <f>ROW(Tabela1[[#This Row],[Toolbox No / Container No]])-1</f>
        <v>80</v>
      </c>
      <c r="B81" s="15" t="s">
        <v>258</v>
      </c>
      <c r="C81" s="15" t="s">
        <v>883</v>
      </c>
      <c r="D81" s="15" t="s">
        <v>879</v>
      </c>
      <c r="E81" s="15" t="s">
        <v>615</v>
      </c>
      <c r="F81" s="15" t="s">
        <v>907</v>
      </c>
      <c r="G81" s="15" t="s">
        <v>741</v>
      </c>
      <c r="H81" s="15" t="s">
        <v>283</v>
      </c>
      <c r="I81" s="6" t="s">
        <v>920</v>
      </c>
      <c r="J81" s="13">
        <v>45663.45208333333</v>
      </c>
      <c r="K81" s="13">
        <f>EDATE(Tabela1[[#This Row],[Data da calibração/certificação ]],12)</f>
        <v>46028</v>
      </c>
      <c r="L81" s="14">
        <f ca="1">INT(Tabela1[[#This Row],[Próxima data de calibração/certificação]]-TODAY())</f>
        <v>98</v>
      </c>
      <c r="M81" s="16" t="s">
        <v>921</v>
      </c>
      <c r="N81" s="16" t="s">
        <v>586</v>
      </c>
      <c r="O81" s="16" t="s">
        <v>887</v>
      </c>
      <c r="P81" s="9" t="s">
        <v>10</v>
      </c>
      <c r="Q81" s="16" t="s">
        <v>523</v>
      </c>
      <c r="R81" s="16" t="s">
        <v>377</v>
      </c>
    </row>
    <row r="82" spans="1:18" x14ac:dyDescent="0.25">
      <c r="A82" s="10">
        <f>ROW(Tabela1[[#This Row],[Toolbox No / Container No]])-1</f>
        <v>81</v>
      </c>
      <c r="B82" s="15" t="s">
        <v>258</v>
      </c>
      <c r="C82" s="15" t="s">
        <v>883</v>
      </c>
      <c r="D82" s="15" t="s">
        <v>879</v>
      </c>
      <c r="E82" s="15" t="s">
        <v>615</v>
      </c>
      <c r="F82" s="15" t="s">
        <v>922</v>
      </c>
      <c r="G82" s="15" t="s">
        <v>741</v>
      </c>
      <c r="H82" s="15" t="s">
        <v>284</v>
      </c>
      <c r="I82" s="6" t="s">
        <v>923</v>
      </c>
      <c r="J82" s="13">
        <v>45663.430555555555</v>
      </c>
      <c r="K82" s="13">
        <f>EDATE(Tabela1[[#This Row],[Data da calibração/certificação ]],12)</f>
        <v>46028</v>
      </c>
      <c r="L82" s="14">
        <f ca="1">INT(Tabela1[[#This Row],[Próxima data de calibração/certificação]]-TODAY())</f>
        <v>98</v>
      </c>
      <c r="M82" s="16" t="s">
        <v>924</v>
      </c>
      <c r="N82" s="16" t="s">
        <v>586</v>
      </c>
      <c r="O82" s="16" t="s">
        <v>887</v>
      </c>
      <c r="P82" s="9" t="s">
        <v>10</v>
      </c>
      <c r="Q82" s="16" t="s">
        <v>523</v>
      </c>
      <c r="R82" s="16" t="s">
        <v>377</v>
      </c>
    </row>
    <row r="83" spans="1:18" x14ac:dyDescent="0.25">
      <c r="A83" s="10">
        <f>ROW(Tabela1[[#This Row],[Toolbox No / Container No]])-1</f>
        <v>82</v>
      </c>
      <c r="B83" s="10" t="s">
        <v>184</v>
      </c>
      <c r="C83" s="10" t="s">
        <v>579</v>
      </c>
      <c r="D83" s="10" t="s">
        <v>594</v>
      </c>
      <c r="E83" s="10">
        <v>305</v>
      </c>
      <c r="F83" s="10" t="s">
        <v>595</v>
      </c>
      <c r="G83" s="10" t="s">
        <v>583</v>
      </c>
      <c r="H83" s="10" t="s">
        <v>185</v>
      </c>
      <c r="I83" s="4" t="s">
        <v>925</v>
      </c>
      <c r="J83" s="12">
        <v>45699.468055555553</v>
      </c>
      <c r="K83" s="13">
        <f>EDATE(Tabela1[[#This Row],[Data da calibração/certificação ]],12)</f>
        <v>46064</v>
      </c>
      <c r="L83" s="14">
        <f ca="1">INT(Tabela1[[#This Row],[Próxima data de calibração/certificação]]-TODAY())</f>
        <v>134</v>
      </c>
      <c r="M83" s="16" t="s">
        <v>597</v>
      </c>
      <c r="N83" s="16" t="s">
        <v>586</v>
      </c>
      <c r="O83" s="16" t="s">
        <v>587</v>
      </c>
      <c r="P83" s="9" t="s">
        <v>10</v>
      </c>
      <c r="Q83" s="16" t="s">
        <v>523</v>
      </c>
      <c r="R83" s="16" t="s">
        <v>379</v>
      </c>
    </row>
    <row r="84" spans="1:18" x14ac:dyDescent="0.25">
      <c r="A84" s="10">
        <f>ROW(Tabela1[[#This Row],[Toolbox No / Container No]])-1</f>
        <v>83</v>
      </c>
      <c r="B84" s="10" t="s">
        <v>188</v>
      </c>
      <c r="C84" s="10" t="s">
        <v>926</v>
      </c>
      <c r="D84" s="10" t="s">
        <v>14</v>
      </c>
      <c r="E84" s="10" t="s">
        <v>927</v>
      </c>
      <c r="F84" s="10" t="s">
        <v>928</v>
      </c>
      <c r="G84" s="10" t="s">
        <v>929</v>
      </c>
      <c r="H84" s="10" t="s">
        <v>189</v>
      </c>
      <c r="I84" s="4" t="s">
        <v>930</v>
      </c>
      <c r="J84" s="12">
        <v>45754.897916666669</v>
      </c>
      <c r="K84" s="13">
        <f>EDATE(Tabela1[[#This Row],[Data da calibração/certificação ]],12)</f>
        <v>46119</v>
      </c>
      <c r="L84" s="14">
        <f ca="1">INT(Tabela1[[#This Row],[Próxima data de calibração/certificação]]-TODAY())</f>
        <v>189</v>
      </c>
      <c r="M84" s="16" t="s">
        <v>931</v>
      </c>
      <c r="N84" s="16" t="s">
        <v>586</v>
      </c>
      <c r="O84" s="16" t="s">
        <v>932</v>
      </c>
      <c r="P84" s="9" t="s">
        <v>10</v>
      </c>
      <c r="Q84" s="16" t="s">
        <v>524</v>
      </c>
      <c r="R84" s="16" t="s">
        <v>380</v>
      </c>
    </row>
    <row r="85" spans="1:18" x14ac:dyDescent="0.25">
      <c r="A85" s="10">
        <f>ROW(Tabela1[[#This Row],[Toolbox No / Container No]])-1</f>
        <v>84</v>
      </c>
      <c r="B85" s="10" t="s">
        <v>186</v>
      </c>
      <c r="C85" s="10" t="s">
        <v>926</v>
      </c>
      <c r="D85" s="10" t="s">
        <v>14</v>
      </c>
      <c r="E85" s="10" t="s">
        <v>933</v>
      </c>
      <c r="F85" s="10" t="s">
        <v>934</v>
      </c>
      <c r="G85" s="10" t="s">
        <v>929</v>
      </c>
      <c r="H85" s="10" t="s">
        <v>187</v>
      </c>
      <c r="I85" s="4" t="s">
        <v>935</v>
      </c>
      <c r="J85" s="12">
        <v>45754.897916666669</v>
      </c>
      <c r="K85" s="13">
        <f>EDATE(Tabela1[[#This Row],[Data da calibração/certificação ]],12)</f>
        <v>46119</v>
      </c>
      <c r="L85" s="14">
        <f ca="1">INT(Tabela1[[#This Row],[Próxima data de calibração/certificação]]-TODAY())</f>
        <v>189</v>
      </c>
      <c r="M85" s="16" t="s">
        <v>936</v>
      </c>
      <c r="N85" s="16" t="s">
        <v>586</v>
      </c>
      <c r="O85" s="16" t="s">
        <v>937</v>
      </c>
      <c r="P85" s="9" t="s">
        <v>10</v>
      </c>
      <c r="Q85" s="16" t="s">
        <v>524</v>
      </c>
      <c r="R85" s="16" t="s">
        <v>381</v>
      </c>
    </row>
    <row r="86" spans="1:18" x14ac:dyDescent="0.25">
      <c r="A86" s="10">
        <f>ROW(Tabela1[[#This Row],[Toolbox No / Container No]])-1</f>
        <v>85</v>
      </c>
      <c r="B86" s="10" t="s">
        <v>210</v>
      </c>
      <c r="C86" s="10" t="s">
        <v>938</v>
      </c>
      <c r="D86" s="10" t="s">
        <v>14</v>
      </c>
      <c r="E86" s="10" t="s">
        <v>939</v>
      </c>
      <c r="F86" s="10" t="s">
        <v>940</v>
      </c>
      <c r="G86" s="10" t="s">
        <v>929</v>
      </c>
      <c r="H86" s="10" t="s">
        <v>211</v>
      </c>
      <c r="I86" s="4" t="s">
        <v>941</v>
      </c>
      <c r="J86" s="12">
        <v>45754.897916666669</v>
      </c>
      <c r="K86" s="13">
        <f>EDATE(Tabela1[[#This Row],[Data da calibração/certificação ]],12)</f>
        <v>46119</v>
      </c>
      <c r="L86" s="14">
        <f ca="1">INT(Tabela1[[#This Row],[Próxima data de calibração/certificação]]-TODAY())</f>
        <v>189</v>
      </c>
      <c r="M86" s="16" t="s">
        <v>936</v>
      </c>
      <c r="N86" s="16" t="s">
        <v>586</v>
      </c>
      <c r="O86" s="16" t="s">
        <v>942</v>
      </c>
      <c r="P86" s="9" t="s">
        <v>10</v>
      </c>
      <c r="Q86" s="16" t="s">
        <v>524</v>
      </c>
      <c r="R86" s="16" t="s">
        <v>382</v>
      </c>
    </row>
    <row r="87" spans="1:18" x14ac:dyDescent="0.25">
      <c r="A87" s="10">
        <f>ROW(Tabela1[[#This Row],[Toolbox No / Container No]])-1</f>
        <v>86</v>
      </c>
      <c r="B87" s="10" t="s">
        <v>190</v>
      </c>
      <c r="C87" s="10" t="s">
        <v>926</v>
      </c>
      <c r="D87" s="10" t="s">
        <v>14</v>
      </c>
      <c r="E87" s="10" t="s">
        <v>943</v>
      </c>
      <c r="F87" s="10" t="s">
        <v>944</v>
      </c>
      <c r="G87" s="10" t="s">
        <v>929</v>
      </c>
      <c r="H87" s="10"/>
      <c r="I87" s="4" t="s">
        <v>945</v>
      </c>
      <c r="J87" s="12">
        <v>45754.883333333331</v>
      </c>
      <c r="K87" s="13">
        <f>EDATE(Tabela1[[#This Row],[Data da calibração/certificação ]],12)</f>
        <v>46119</v>
      </c>
      <c r="L87" s="14">
        <f ca="1">INT(Tabela1[[#This Row],[Próxima data de calibração/certificação]]-TODAY())</f>
        <v>189</v>
      </c>
      <c r="M87" s="16" t="s">
        <v>931</v>
      </c>
      <c r="N87" s="16" t="s">
        <v>586</v>
      </c>
      <c r="O87" s="16" t="s">
        <v>942</v>
      </c>
      <c r="P87" s="9" t="s">
        <v>10</v>
      </c>
      <c r="Q87" s="16" t="s">
        <v>524</v>
      </c>
      <c r="R87" s="16" t="s">
        <v>383</v>
      </c>
    </row>
    <row r="88" spans="1:18" x14ac:dyDescent="0.25">
      <c r="A88" s="10">
        <f>ROW(Tabela1[[#This Row],[Toolbox No / Container No]])-1</f>
        <v>87</v>
      </c>
      <c r="B88" s="10" t="s">
        <v>193</v>
      </c>
      <c r="C88" s="10" t="s">
        <v>926</v>
      </c>
      <c r="D88" s="10" t="s">
        <v>14</v>
      </c>
      <c r="E88" s="10" t="s">
        <v>946</v>
      </c>
      <c r="F88" s="10" t="s">
        <v>947</v>
      </c>
      <c r="G88" s="10" t="s">
        <v>929</v>
      </c>
      <c r="H88" s="10" t="s">
        <v>194</v>
      </c>
      <c r="I88" s="4" t="s">
        <v>948</v>
      </c>
      <c r="J88" s="12">
        <v>45754.882638888892</v>
      </c>
      <c r="K88" s="13">
        <f>EDATE(Tabela1[[#This Row],[Data da calibração/certificação ]],12)</f>
        <v>46119</v>
      </c>
      <c r="L88" s="14">
        <f ca="1">INT(Tabela1[[#This Row],[Próxima data de calibração/certificação]]-TODAY())</f>
        <v>189</v>
      </c>
      <c r="M88" s="16" t="s">
        <v>949</v>
      </c>
      <c r="N88" s="16" t="s">
        <v>586</v>
      </c>
      <c r="O88" s="16" t="s">
        <v>950</v>
      </c>
      <c r="P88" s="9" t="s">
        <v>10</v>
      </c>
      <c r="Q88" s="16" t="s">
        <v>524</v>
      </c>
      <c r="R88" s="16" t="s">
        <v>384</v>
      </c>
    </row>
    <row r="89" spans="1:18" x14ac:dyDescent="0.25">
      <c r="A89" s="10">
        <f>ROW(Tabela1[[#This Row],[Toolbox No / Container No]])-1</f>
        <v>88</v>
      </c>
      <c r="B89" s="10" t="s">
        <v>191</v>
      </c>
      <c r="C89" s="10" t="s">
        <v>938</v>
      </c>
      <c r="D89" s="10" t="s">
        <v>14</v>
      </c>
      <c r="E89" s="10" t="s">
        <v>951</v>
      </c>
      <c r="F89" s="10" t="s">
        <v>952</v>
      </c>
      <c r="G89" s="10" t="s">
        <v>929</v>
      </c>
      <c r="H89" s="10" t="s">
        <v>192</v>
      </c>
      <c r="I89" s="4" t="s">
        <v>953</v>
      </c>
      <c r="J89" s="12">
        <v>45754.883333333331</v>
      </c>
      <c r="K89" s="13">
        <f>EDATE(Tabela1[[#This Row],[Data da calibração/certificação ]],12)</f>
        <v>46119</v>
      </c>
      <c r="L89" s="14">
        <f ca="1">INT(Tabela1[[#This Row],[Próxima data de calibração/certificação]]-TODAY())</f>
        <v>189</v>
      </c>
      <c r="M89" s="16" t="s">
        <v>949</v>
      </c>
      <c r="N89" s="16" t="s">
        <v>586</v>
      </c>
      <c r="O89" s="16" t="s">
        <v>950</v>
      </c>
      <c r="P89" s="9" t="s">
        <v>10</v>
      </c>
      <c r="Q89" s="16" t="s">
        <v>524</v>
      </c>
      <c r="R89" s="16" t="s">
        <v>385</v>
      </c>
    </row>
    <row r="90" spans="1:18" x14ac:dyDescent="0.25">
      <c r="A90" s="10">
        <f>ROW(Tabela1[[#This Row],[Toolbox No / Container No]])-1</f>
        <v>89</v>
      </c>
      <c r="B90" s="10" t="s">
        <v>84</v>
      </c>
      <c r="C90" s="10" t="s">
        <v>954</v>
      </c>
      <c r="D90" s="10" t="s">
        <v>85</v>
      </c>
      <c r="E90" s="10" t="s">
        <v>955</v>
      </c>
      <c r="F90" s="10" t="s">
        <v>956</v>
      </c>
      <c r="G90" s="10" t="s">
        <v>880</v>
      </c>
      <c r="H90" s="10" t="s">
        <v>86</v>
      </c>
      <c r="I90" s="4" t="s">
        <v>957</v>
      </c>
      <c r="J90" s="12">
        <v>45862.438888888886</v>
      </c>
      <c r="K90" s="13">
        <f>EDATE(Tabela1[[#This Row],[Data da calibração/certificação ]],12)</f>
        <v>46227</v>
      </c>
      <c r="L90" s="14">
        <f ca="1">INT(Tabela1[[#This Row],[Próxima data de calibração/certificação]]-TODAY())</f>
        <v>297</v>
      </c>
      <c r="M90" s="16" t="s">
        <v>958</v>
      </c>
      <c r="N90" s="16" t="s">
        <v>959</v>
      </c>
      <c r="O90" s="16" t="s">
        <v>960</v>
      </c>
      <c r="P90" s="9" t="s">
        <v>10</v>
      </c>
      <c r="Q90" s="16" t="s">
        <v>525</v>
      </c>
      <c r="R90" s="16" t="s">
        <v>386</v>
      </c>
    </row>
    <row r="91" spans="1:18" x14ac:dyDescent="0.25">
      <c r="A91" s="10">
        <f>ROW(Tabela1[[#This Row],[Toolbox No / Container No]])-1</f>
        <v>90</v>
      </c>
      <c r="B91" s="10" t="s">
        <v>195</v>
      </c>
      <c r="C91" s="10" t="s">
        <v>961</v>
      </c>
      <c r="D91" s="10" t="s">
        <v>962</v>
      </c>
      <c r="E91" s="10" t="s">
        <v>615</v>
      </c>
      <c r="F91" s="10" t="s">
        <v>963</v>
      </c>
      <c r="G91" s="10" t="s">
        <v>874</v>
      </c>
      <c r="H91" s="10" t="s">
        <v>196</v>
      </c>
      <c r="I91" s="4" t="s">
        <v>964</v>
      </c>
      <c r="J91" s="12">
        <v>45779.629861111112</v>
      </c>
      <c r="K91" s="13">
        <f>EDATE(Tabela1[[#This Row],[Data da calibração/certificação ]],12)</f>
        <v>46144</v>
      </c>
      <c r="L91" s="14">
        <f ca="1">INT(Tabela1[[#This Row],[Próxima data de calibração/certificação]]-TODAY())</f>
        <v>214</v>
      </c>
      <c r="M91" s="16" t="s">
        <v>965</v>
      </c>
      <c r="N91" s="16" t="s">
        <v>586</v>
      </c>
      <c r="O91" s="16" t="s">
        <v>877</v>
      </c>
      <c r="P91" s="9" t="s">
        <v>10</v>
      </c>
      <c r="Q91" s="16" t="s">
        <v>526</v>
      </c>
      <c r="R91" s="16" t="s">
        <v>387</v>
      </c>
    </row>
    <row r="92" spans="1:18" x14ac:dyDescent="0.25">
      <c r="A92" s="10">
        <f>ROW(Tabela1[[#This Row],[Toolbox No / Container No]])-1</f>
        <v>91</v>
      </c>
      <c r="B92" s="10" t="s">
        <v>197</v>
      </c>
      <c r="C92" s="10" t="s">
        <v>961</v>
      </c>
      <c r="D92" s="10" t="s">
        <v>962</v>
      </c>
      <c r="E92" s="10" t="s">
        <v>615</v>
      </c>
      <c r="F92" s="10" t="s">
        <v>963</v>
      </c>
      <c r="G92" s="10" t="s">
        <v>874</v>
      </c>
      <c r="H92" s="10" t="s">
        <v>198</v>
      </c>
      <c r="I92" s="4" t="s">
        <v>966</v>
      </c>
      <c r="J92" s="12">
        <v>45779.378472222219</v>
      </c>
      <c r="K92" s="13">
        <f>EDATE(Tabela1[[#This Row],[Data da calibração/certificação ]],12)</f>
        <v>46144</v>
      </c>
      <c r="L92" s="14">
        <f ca="1">INT(Tabela1[[#This Row],[Próxima data de calibração/certificação]]-TODAY())</f>
        <v>214</v>
      </c>
      <c r="M92" s="16" t="s">
        <v>967</v>
      </c>
      <c r="N92" s="16" t="s">
        <v>586</v>
      </c>
      <c r="O92" s="16" t="s">
        <v>877</v>
      </c>
      <c r="P92" s="9" t="s">
        <v>10</v>
      </c>
      <c r="Q92" s="16" t="s">
        <v>526</v>
      </c>
      <c r="R92" s="16" t="s">
        <v>388</v>
      </c>
    </row>
    <row r="93" spans="1:18" x14ac:dyDescent="0.25">
      <c r="A93" s="10">
        <f>ROW(Tabela1[[#This Row],[Toolbox No / Container No]])-1</f>
        <v>92</v>
      </c>
      <c r="B93" s="10" t="s">
        <v>208</v>
      </c>
      <c r="C93" s="10" t="s">
        <v>968</v>
      </c>
      <c r="D93" s="10" t="s">
        <v>969</v>
      </c>
      <c r="E93" s="10" t="s">
        <v>615</v>
      </c>
      <c r="F93" s="10" t="s">
        <v>970</v>
      </c>
      <c r="G93" s="10" t="s">
        <v>741</v>
      </c>
      <c r="H93" s="10"/>
      <c r="I93" s="4" t="s">
        <v>971</v>
      </c>
      <c r="J93" s="12">
        <v>45727.452777777777</v>
      </c>
      <c r="K93" s="13">
        <f>EDATE(Tabela1[[#This Row],[Data da calibração/certificação ]],12)</f>
        <v>46092</v>
      </c>
      <c r="L93" s="14">
        <f ca="1">INT(Tabela1[[#This Row],[Próxima data de calibração/certificação]]-TODAY())</f>
        <v>162</v>
      </c>
      <c r="M93" s="16" t="s">
        <v>972</v>
      </c>
      <c r="N93" s="16" t="s">
        <v>586</v>
      </c>
      <c r="O93" s="16" t="s">
        <v>973</v>
      </c>
      <c r="P93" s="9" t="s">
        <v>10</v>
      </c>
      <c r="Q93" s="16" t="s">
        <v>527</v>
      </c>
      <c r="R93" s="16" t="s">
        <v>389</v>
      </c>
    </row>
    <row r="94" spans="1:18" x14ac:dyDescent="0.25">
      <c r="A94" s="10">
        <f>ROW(Tabela1[[#This Row],[Toolbox No / Container No]])-1</f>
        <v>93</v>
      </c>
      <c r="B94" s="10" t="s">
        <v>53</v>
      </c>
      <c r="C94" s="10" t="s">
        <v>593</v>
      </c>
      <c r="D94" s="10" t="s">
        <v>580</v>
      </c>
      <c r="E94" s="10" t="s">
        <v>974</v>
      </c>
      <c r="F94" s="10" t="s">
        <v>975</v>
      </c>
      <c r="G94" s="10" t="s">
        <v>583</v>
      </c>
      <c r="H94" s="10" t="s">
        <v>54</v>
      </c>
      <c r="I94" s="4" t="s">
        <v>976</v>
      </c>
      <c r="J94" s="12">
        <v>45728</v>
      </c>
      <c r="K94" s="13">
        <f>EDATE(Tabela1[[#This Row],[Data da calibração/certificação ]],12)</f>
        <v>46093</v>
      </c>
      <c r="L94" s="14">
        <f ca="1">INT(Tabela1[[#This Row],[Próxima data de calibração/certificação]]-TODAY())</f>
        <v>163</v>
      </c>
      <c r="M94" s="16" t="s">
        <v>977</v>
      </c>
      <c r="N94" s="16" t="s">
        <v>586</v>
      </c>
      <c r="O94" s="16" t="s">
        <v>587</v>
      </c>
      <c r="P94" s="9" t="s">
        <v>10</v>
      </c>
      <c r="Q94" s="16" t="s">
        <v>528</v>
      </c>
      <c r="R94" s="16" t="s">
        <v>390</v>
      </c>
    </row>
    <row r="95" spans="1:18" x14ac:dyDescent="0.25">
      <c r="A95" s="10">
        <f>ROW(Tabela1[[#This Row],[Toolbox No / Container No]])-1</f>
        <v>94</v>
      </c>
      <c r="B95" s="10" t="s">
        <v>100</v>
      </c>
      <c r="C95" s="10" t="s">
        <v>978</v>
      </c>
      <c r="D95" s="10" t="s">
        <v>96</v>
      </c>
      <c r="E95" s="10" t="s">
        <v>979</v>
      </c>
      <c r="F95" s="10" t="s">
        <v>980</v>
      </c>
      <c r="G95" s="10" t="s">
        <v>741</v>
      </c>
      <c r="H95" s="10"/>
      <c r="I95" s="5" t="s">
        <v>981</v>
      </c>
      <c r="J95" s="12">
        <v>45904</v>
      </c>
      <c r="K95" s="13">
        <f>EDATE(Tabela1[[#This Row],[Data da calibração/certificação ]],12)</f>
        <v>46269</v>
      </c>
      <c r="L95" s="14">
        <f ca="1">INT(Tabela1[[#This Row],[Próxima data de calibração/certificação]]-TODAY())</f>
        <v>339</v>
      </c>
      <c r="M95" s="16" t="s">
        <v>982</v>
      </c>
      <c r="N95" s="16" t="s">
        <v>586</v>
      </c>
      <c r="O95" s="16" t="s">
        <v>983</v>
      </c>
      <c r="P95" s="9" t="s">
        <v>10</v>
      </c>
      <c r="Q95" s="16" t="s">
        <v>529</v>
      </c>
      <c r="R95" s="16" t="s">
        <v>391</v>
      </c>
    </row>
    <row r="96" spans="1:18" x14ac:dyDescent="0.25">
      <c r="A96" s="10">
        <f>ROW(Tabela1[[#This Row],[Toolbox No / Container No]])-1</f>
        <v>95</v>
      </c>
      <c r="B96" s="10" t="s">
        <v>101</v>
      </c>
      <c r="C96" s="10" t="s">
        <v>984</v>
      </c>
      <c r="D96" s="10" t="s">
        <v>102</v>
      </c>
      <c r="E96" s="10" t="s">
        <v>985</v>
      </c>
      <c r="F96" s="10" t="s">
        <v>986</v>
      </c>
      <c r="G96" s="10" t="s">
        <v>741</v>
      </c>
      <c r="H96" s="10"/>
      <c r="I96" s="5" t="s">
        <v>987</v>
      </c>
      <c r="J96" s="12">
        <v>45904</v>
      </c>
      <c r="K96" s="13">
        <f>EDATE(Tabela1[[#This Row],[Data da calibração/certificação ]],12)</f>
        <v>46269</v>
      </c>
      <c r="L96" s="14">
        <f ca="1">INT(Tabela1[[#This Row],[Próxima data de calibração/certificação]]-TODAY())</f>
        <v>339</v>
      </c>
      <c r="M96" s="16" t="s">
        <v>988</v>
      </c>
      <c r="N96" s="16" t="s">
        <v>586</v>
      </c>
      <c r="O96" s="16" t="s">
        <v>744</v>
      </c>
      <c r="P96" s="9" t="s">
        <v>10</v>
      </c>
      <c r="Q96" s="16" t="s">
        <v>529</v>
      </c>
      <c r="R96" s="16" t="s">
        <v>392</v>
      </c>
    </row>
    <row r="97" spans="1:18" x14ac:dyDescent="0.25">
      <c r="A97" s="10">
        <f>ROW(Tabela1[[#This Row],[Toolbox No / Container No]])-1</f>
        <v>96</v>
      </c>
      <c r="B97" s="10" t="s">
        <v>103</v>
      </c>
      <c r="C97" s="10" t="s">
        <v>978</v>
      </c>
      <c r="D97" s="10" t="s">
        <v>104</v>
      </c>
      <c r="E97" s="10" t="s">
        <v>105</v>
      </c>
      <c r="F97" s="10" t="s">
        <v>989</v>
      </c>
      <c r="G97" s="10" t="s">
        <v>741</v>
      </c>
      <c r="H97" s="10" t="s">
        <v>105</v>
      </c>
      <c r="I97" s="5" t="s">
        <v>990</v>
      </c>
      <c r="J97" s="12">
        <v>45904</v>
      </c>
      <c r="K97" s="13">
        <f>EDATE(Tabela1[[#This Row],[Data da calibração/certificação ]],12)</f>
        <v>46269</v>
      </c>
      <c r="L97" s="14">
        <f ca="1">INT(Tabela1[[#This Row],[Próxima data de calibração/certificação]]-TODAY())</f>
        <v>339</v>
      </c>
      <c r="M97" s="16" t="s">
        <v>991</v>
      </c>
      <c r="N97" s="16" t="s">
        <v>586</v>
      </c>
      <c r="O97" s="16" t="s">
        <v>983</v>
      </c>
      <c r="P97" s="9" t="s">
        <v>10</v>
      </c>
      <c r="Q97" s="16" t="s">
        <v>530</v>
      </c>
      <c r="R97" s="16" t="s">
        <v>393</v>
      </c>
    </row>
    <row r="98" spans="1:18" x14ac:dyDescent="0.25">
      <c r="A98" s="10">
        <f>ROW(Tabela1[[#This Row],[Toolbox No / Container No]])-1</f>
        <v>97</v>
      </c>
      <c r="B98" s="10" t="s">
        <v>106</v>
      </c>
      <c r="C98" s="10" t="s">
        <v>978</v>
      </c>
      <c r="D98" s="10" t="s">
        <v>107</v>
      </c>
      <c r="E98" s="10" t="s">
        <v>615</v>
      </c>
      <c r="F98" s="10" t="s">
        <v>989</v>
      </c>
      <c r="G98" s="10" t="s">
        <v>741</v>
      </c>
      <c r="H98" s="10"/>
      <c r="I98" s="5" t="s">
        <v>992</v>
      </c>
      <c r="J98" s="12">
        <v>45904</v>
      </c>
      <c r="K98" s="13">
        <f>EDATE(Tabela1[[#This Row],[Data da calibração/certificação ]],12)</f>
        <v>46269</v>
      </c>
      <c r="L98" s="14">
        <f ca="1">INT(Tabela1[[#This Row],[Próxima data de calibração/certificação]]-TODAY())</f>
        <v>339</v>
      </c>
      <c r="M98" s="16" t="s">
        <v>993</v>
      </c>
      <c r="N98" s="16" t="s">
        <v>586</v>
      </c>
      <c r="O98" s="16" t="s">
        <v>983</v>
      </c>
      <c r="P98" s="9" t="s">
        <v>10</v>
      </c>
      <c r="Q98" s="16" t="s">
        <v>530</v>
      </c>
      <c r="R98" s="16" t="s">
        <v>394</v>
      </c>
    </row>
    <row r="99" spans="1:18" x14ac:dyDescent="0.25">
      <c r="A99" s="10">
        <f>ROW(Tabela1[[#This Row],[Toolbox No / Container No]])-1</f>
        <v>98</v>
      </c>
      <c r="B99" s="10" t="s">
        <v>108</v>
      </c>
      <c r="C99" s="10" t="s">
        <v>978</v>
      </c>
      <c r="D99" s="10" t="s">
        <v>107</v>
      </c>
      <c r="E99" s="10" t="s">
        <v>615</v>
      </c>
      <c r="F99" s="10" t="s">
        <v>989</v>
      </c>
      <c r="G99" s="10" t="s">
        <v>741</v>
      </c>
      <c r="H99" s="10"/>
      <c r="I99" s="5" t="s">
        <v>994</v>
      </c>
      <c r="J99" s="12">
        <v>45903</v>
      </c>
      <c r="K99" s="13">
        <f>EDATE(Tabela1[[#This Row],[Data da calibração/certificação ]],12)</f>
        <v>46268</v>
      </c>
      <c r="L99" s="14">
        <f ca="1">INT(Tabela1[[#This Row],[Próxima data de calibração/certificação]]-TODAY())</f>
        <v>338</v>
      </c>
      <c r="M99" s="16" t="s">
        <v>995</v>
      </c>
      <c r="N99" s="16" t="s">
        <v>586</v>
      </c>
      <c r="O99" s="16" t="s">
        <v>996</v>
      </c>
      <c r="P99" s="9" t="s">
        <v>10</v>
      </c>
      <c r="Q99" s="16" t="s">
        <v>530</v>
      </c>
      <c r="R99" s="16" t="s">
        <v>395</v>
      </c>
    </row>
    <row r="100" spans="1:18" x14ac:dyDescent="0.25">
      <c r="A100" s="10">
        <f>ROW(Tabela1[[#This Row],[Toolbox No / Container No]])-1</f>
        <v>99</v>
      </c>
      <c r="B100" s="10" t="s">
        <v>109</v>
      </c>
      <c r="C100" s="10" t="s">
        <v>978</v>
      </c>
      <c r="D100" s="10" t="s">
        <v>107</v>
      </c>
      <c r="E100" s="10" t="s">
        <v>615</v>
      </c>
      <c r="F100" s="10" t="s">
        <v>989</v>
      </c>
      <c r="G100" s="10" t="s">
        <v>741</v>
      </c>
      <c r="H100" s="10"/>
      <c r="I100" s="5" t="s">
        <v>997</v>
      </c>
      <c r="J100" s="12">
        <v>45903</v>
      </c>
      <c r="K100" s="13">
        <f>EDATE(Tabela1[[#This Row],[Data da calibração/certificação ]],12)</f>
        <v>46268</v>
      </c>
      <c r="L100" s="14">
        <f ca="1">INT(Tabela1[[#This Row],[Próxima data de calibração/certificação]]-TODAY())</f>
        <v>338</v>
      </c>
      <c r="M100" s="16" t="s">
        <v>998</v>
      </c>
      <c r="N100" s="16" t="s">
        <v>586</v>
      </c>
      <c r="O100" s="16" t="s">
        <v>983</v>
      </c>
      <c r="P100" s="9" t="s">
        <v>10</v>
      </c>
      <c r="Q100" s="16" t="s">
        <v>530</v>
      </c>
      <c r="R100" s="16" t="s">
        <v>396</v>
      </c>
    </row>
    <row r="101" spans="1:18" x14ac:dyDescent="0.25">
      <c r="A101" s="10">
        <f>ROW(Tabela1[[#This Row],[Toolbox No / Container No]])-1</f>
        <v>100</v>
      </c>
      <c r="B101" s="10" t="s">
        <v>110</v>
      </c>
      <c r="C101" s="10" t="s">
        <v>978</v>
      </c>
      <c r="D101" s="10" t="s">
        <v>107</v>
      </c>
      <c r="E101" s="10" t="s">
        <v>615</v>
      </c>
      <c r="F101" s="10" t="s">
        <v>989</v>
      </c>
      <c r="G101" s="10" t="s">
        <v>741</v>
      </c>
      <c r="H101" s="10"/>
      <c r="I101" s="5" t="s">
        <v>999</v>
      </c>
      <c r="J101" s="12">
        <v>45904</v>
      </c>
      <c r="K101" s="13">
        <f>EDATE(Tabela1[[#This Row],[Data da calibração/certificação ]],12)</f>
        <v>46269</v>
      </c>
      <c r="L101" s="14">
        <f ca="1">INT(Tabela1[[#This Row],[Próxima data de calibração/certificação]]-TODAY())</f>
        <v>339</v>
      </c>
      <c r="M101" s="16" t="s">
        <v>1000</v>
      </c>
      <c r="N101" s="16" t="s">
        <v>586</v>
      </c>
      <c r="O101" s="16" t="s">
        <v>983</v>
      </c>
      <c r="P101" s="9" t="s">
        <v>10</v>
      </c>
      <c r="Q101" s="16" t="s">
        <v>530</v>
      </c>
      <c r="R101" s="16" t="s">
        <v>397</v>
      </c>
    </row>
    <row r="102" spans="1:18" x14ac:dyDescent="0.25">
      <c r="A102" s="10">
        <f>ROW(Tabela1[[#This Row],[Toolbox No / Container No]])-1</f>
        <v>101</v>
      </c>
      <c r="B102" s="10" t="s">
        <v>111</v>
      </c>
      <c r="C102" s="10" t="s">
        <v>978</v>
      </c>
      <c r="D102" s="10" t="s">
        <v>1001</v>
      </c>
      <c r="E102" s="10">
        <v>163016</v>
      </c>
      <c r="F102" s="10" t="s">
        <v>989</v>
      </c>
      <c r="G102" s="10" t="s">
        <v>741</v>
      </c>
      <c r="H102" s="10"/>
      <c r="I102" s="5" t="s">
        <v>1002</v>
      </c>
      <c r="J102" s="12">
        <v>45904</v>
      </c>
      <c r="K102" s="13">
        <f>EDATE(Tabela1[[#This Row],[Data da calibração/certificação ]],12)</f>
        <v>46269</v>
      </c>
      <c r="L102" s="14">
        <f ca="1">INT(Tabela1[[#This Row],[Próxima data de calibração/certificação]]-TODAY())</f>
        <v>339</v>
      </c>
      <c r="M102" s="16" t="s">
        <v>1003</v>
      </c>
      <c r="N102" s="16" t="s">
        <v>586</v>
      </c>
      <c r="O102" s="16" t="s">
        <v>983</v>
      </c>
      <c r="P102" s="9" t="s">
        <v>10</v>
      </c>
      <c r="Q102" s="16" t="s">
        <v>530</v>
      </c>
      <c r="R102" s="16" t="s">
        <v>398</v>
      </c>
    </row>
    <row r="103" spans="1:18" x14ac:dyDescent="0.25">
      <c r="A103" s="10">
        <f>ROW(Tabela1[[#This Row],[Toolbox No / Container No]])-1</f>
        <v>102</v>
      </c>
      <c r="B103" s="10" t="s">
        <v>112</v>
      </c>
      <c r="C103" s="10" t="s">
        <v>978</v>
      </c>
      <c r="D103" s="10" t="s">
        <v>118</v>
      </c>
      <c r="E103" s="10">
        <v>163016</v>
      </c>
      <c r="F103" s="10" t="s">
        <v>989</v>
      </c>
      <c r="G103" s="10" t="s">
        <v>741</v>
      </c>
      <c r="H103" s="10"/>
      <c r="I103" s="5" t="s">
        <v>1004</v>
      </c>
      <c r="J103" s="12">
        <v>45904</v>
      </c>
      <c r="K103" s="13">
        <f>EDATE(Tabela1[[#This Row],[Data da calibração/certificação ]],12)</f>
        <v>46269</v>
      </c>
      <c r="L103" s="14">
        <f ca="1">INT(Tabela1[[#This Row],[Próxima data de calibração/certificação]]-TODAY())</f>
        <v>339</v>
      </c>
      <c r="M103" s="16" t="s">
        <v>1005</v>
      </c>
      <c r="N103" s="16" t="s">
        <v>586</v>
      </c>
      <c r="O103" s="16" t="s">
        <v>983</v>
      </c>
      <c r="P103" s="9" t="s">
        <v>10</v>
      </c>
      <c r="Q103" s="16" t="s">
        <v>530</v>
      </c>
      <c r="R103" s="16" t="s">
        <v>399</v>
      </c>
    </row>
    <row r="104" spans="1:18" x14ac:dyDescent="0.25">
      <c r="A104" s="10">
        <f>ROW(Tabela1[[#This Row],[Toolbox No / Container No]])-1</f>
        <v>103</v>
      </c>
      <c r="B104" s="10" t="s">
        <v>113</v>
      </c>
      <c r="C104" s="10" t="s">
        <v>978</v>
      </c>
      <c r="D104" s="10" t="s">
        <v>1001</v>
      </c>
      <c r="E104" s="10" t="s">
        <v>615</v>
      </c>
      <c r="F104" s="10" t="s">
        <v>989</v>
      </c>
      <c r="G104" s="10" t="s">
        <v>741</v>
      </c>
      <c r="H104" s="10"/>
      <c r="I104" s="5" t="s">
        <v>1006</v>
      </c>
      <c r="J104" s="12">
        <v>45904</v>
      </c>
      <c r="K104" s="13">
        <f>EDATE(Tabela1[[#This Row],[Data da calibração/certificação ]],12)</f>
        <v>46269</v>
      </c>
      <c r="L104" s="14">
        <f ca="1">INT(Tabela1[[#This Row],[Próxima data de calibração/certificação]]-TODAY())</f>
        <v>339</v>
      </c>
      <c r="M104" s="16" t="s">
        <v>1007</v>
      </c>
      <c r="N104" s="16" t="s">
        <v>586</v>
      </c>
      <c r="O104" s="16" t="s">
        <v>983</v>
      </c>
      <c r="P104" s="9" t="s">
        <v>10</v>
      </c>
      <c r="Q104" s="16" t="s">
        <v>530</v>
      </c>
      <c r="R104" s="16" t="s">
        <v>400</v>
      </c>
    </row>
    <row r="105" spans="1:18" x14ac:dyDescent="0.25">
      <c r="A105" s="10">
        <f>ROW(Tabela1[[#This Row],[Toolbox No / Container No]])-1</f>
        <v>104</v>
      </c>
      <c r="B105" s="10" t="s">
        <v>114</v>
      </c>
      <c r="C105" s="10" t="s">
        <v>978</v>
      </c>
      <c r="D105" s="10" t="s">
        <v>1001</v>
      </c>
      <c r="E105" s="10" t="s">
        <v>615</v>
      </c>
      <c r="F105" s="10" t="s">
        <v>989</v>
      </c>
      <c r="G105" s="10" t="s">
        <v>741</v>
      </c>
      <c r="H105" s="10"/>
      <c r="I105" s="5" t="s">
        <v>1008</v>
      </c>
      <c r="J105" s="12">
        <v>45904</v>
      </c>
      <c r="K105" s="13">
        <f>EDATE(Tabela1[[#This Row],[Data da calibração/certificação ]],12)</f>
        <v>46269</v>
      </c>
      <c r="L105" s="14">
        <f ca="1">INT(Tabela1[[#This Row],[Próxima data de calibração/certificação]]-TODAY())</f>
        <v>339</v>
      </c>
      <c r="M105" s="16" t="s">
        <v>1009</v>
      </c>
      <c r="N105" s="16" t="s">
        <v>586</v>
      </c>
      <c r="O105" s="16" t="s">
        <v>983</v>
      </c>
      <c r="P105" s="9" t="s">
        <v>10</v>
      </c>
      <c r="Q105" s="16" t="s">
        <v>530</v>
      </c>
      <c r="R105" s="16" t="s">
        <v>401</v>
      </c>
    </row>
    <row r="106" spans="1:18" x14ac:dyDescent="0.25">
      <c r="A106" s="10">
        <f>ROW(Tabela1[[#This Row],[Toolbox No / Container No]])-1</f>
        <v>105</v>
      </c>
      <c r="B106" s="10" t="s">
        <v>115</v>
      </c>
      <c r="C106" s="10" t="s">
        <v>978</v>
      </c>
      <c r="D106" s="10" t="s">
        <v>107</v>
      </c>
      <c r="E106" s="10" t="s">
        <v>615</v>
      </c>
      <c r="F106" s="10" t="s">
        <v>989</v>
      </c>
      <c r="G106" s="10" t="s">
        <v>741</v>
      </c>
      <c r="H106" s="10"/>
      <c r="I106" s="5" t="s">
        <v>1010</v>
      </c>
      <c r="J106" s="12">
        <v>45903</v>
      </c>
      <c r="K106" s="13">
        <f>EDATE(Tabela1[[#This Row],[Data da calibração/certificação ]],12)</f>
        <v>46268</v>
      </c>
      <c r="L106" s="14">
        <f ca="1">INT(Tabela1[[#This Row],[Próxima data de calibração/certificação]]-TODAY())</f>
        <v>338</v>
      </c>
      <c r="M106" s="16" t="s">
        <v>1011</v>
      </c>
      <c r="N106" s="16" t="s">
        <v>586</v>
      </c>
      <c r="O106" s="16" t="s">
        <v>983</v>
      </c>
      <c r="P106" s="9" t="s">
        <v>10</v>
      </c>
      <c r="Q106" s="16" t="s">
        <v>530</v>
      </c>
      <c r="R106" s="16" t="s">
        <v>402</v>
      </c>
    </row>
    <row r="107" spans="1:18" x14ac:dyDescent="0.25">
      <c r="A107" s="10">
        <f>ROW(Tabela1[[#This Row],[Toolbox No / Container No]])-1</f>
        <v>106</v>
      </c>
      <c r="B107" s="10" t="s">
        <v>116</v>
      </c>
      <c r="C107" s="10" t="s">
        <v>978</v>
      </c>
      <c r="D107" s="10" t="s">
        <v>107</v>
      </c>
      <c r="E107" s="10" t="s">
        <v>615</v>
      </c>
      <c r="F107" s="10" t="s">
        <v>989</v>
      </c>
      <c r="G107" s="10" t="s">
        <v>741</v>
      </c>
      <c r="H107" s="10"/>
      <c r="I107" s="5" t="s">
        <v>1012</v>
      </c>
      <c r="J107" s="12">
        <v>45904</v>
      </c>
      <c r="K107" s="13">
        <f>EDATE(Tabela1[[#This Row],[Data da calibração/certificação ]],12)</f>
        <v>46269</v>
      </c>
      <c r="L107" s="14">
        <f ca="1">INT(Tabela1[[#This Row],[Próxima data de calibração/certificação]]-TODAY())</f>
        <v>339</v>
      </c>
      <c r="M107" s="16" t="s">
        <v>1013</v>
      </c>
      <c r="N107" s="16" t="s">
        <v>586</v>
      </c>
      <c r="O107" s="16" t="s">
        <v>983</v>
      </c>
      <c r="P107" s="9" t="s">
        <v>10</v>
      </c>
      <c r="Q107" s="16" t="s">
        <v>530</v>
      </c>
      <c r="R107" s="16" t="s">
        <v>403</v>
      </c>
    </row>
    <row r="108" spans="1:18" x14ac:dyDescent="0.25">
      <c r="A108" s="10">
        <f>ROW(Tabela1[[#This Row],[Toolbox No / Container No]])-1</f>
        <v>107</v>
      </c>
      <c r="B108" s="10" t="s">
        <v>117</v>
      </c>
      <c r="C108" s="10" t="s">
        <v>978</v>
      </c>
      <c r="D108" s="10" t="s">
        <v>118</v>
      </c>
      <c r="E108" s="10" t="s">
        <v>615</v>
      </c>
      <c r="F108" s="10" t="s">
        <v>980</v>
      </c>
      <c r="G108" s="10" t="s">
        <v>741</v>
      </c>
      <c r="H108" s="10"/>
      <c r="I108" s="5" t="s">
        <v>1014</v>
      </c>
      <c r="J108" s="12">
        <v>45904</v>
      </c>
      <c r="K108" s="13">
        <f>EDATE(Tabela1[[#This Row],[Data da calibração/certificação ]],12)</f>
        <v>46269</v>
      </c>
      <c r="L108" s="14">
        <f ca="1">INT(Tabela1[[#This Row],[Próxima data de calibração/certificação]]-TODAY())</f>
        <v>339</v>
      </c>
      <c r="M108" s="16" t="s">
        <v>1015</v>
      </c>
      <c r="N108" s="16" t="s">
        <v>586</v>
      </c>
      <c r="O108" s="16" t="s">
        <v>983</v>
      </c>
      <c r="P108" s="9" t="s">
        <v>10</v>
      </c>
      <c r="Q108" s="16" t="s">
        <v>530</v>
      </c>
      <c r="R108" s="16" t="s">
        <v>404</v>
      </c>
    </row>
    <row r="109" spans="1:18" x14ac:dyDescent="0.25">
      <c r="A109" s="10">
        <f>ROW(Tabela1[[#This Row],[Toolbox No / Container No]])-1</f>
        <v>108</v>
      </c>
      <c r="B109" s="10" t="s">
        <v>119</v>
      </c>
      <c r="C109" s="10" t="s">
        <v>978</v>
      </c>
      <c r="D109" s="10" t="s">
        <v>96</v>
      </c>
      <c r="E109" s="10" t="s">
        <v>979</v>
      </c>
      <c r="F109" s="10" t="s">
        <v>980</v>
      </c>
      <c r="G109" s="10" t="s">
        <v>741</v>
      </c>
      <c r="H109" s="10"/>
      <c r="I109" s="5" t="s">
        <v>1016</v>
      </c>
      <c r="J109" s="12">
        <v>45904</v>
      </c>
      <c r="K109" s="13">
        <f>EDATE(Tabela1[[#This Row],[Data da calibração/certificação ]],12)</f>
        <v>46269</v>
      </c>
      <c r="L109" s="14">
        <f ca="1">INT(Tabela1[[#This Row],[Próxima data de calibração/certificação]]-TODAY())</f>
        <v>339</v>
      </c>
      <c r="M109" s="16" t="s">
        <v>982</v>
      </c>
      <c r="N109" s="16" t="s">
        <v>586</v>
      </c>
      <c r="O109" s="16" t="s">
        <v>983</v>
      </c>
      <c r="P109" s="9" t="s">
        <v>10</v>
      </c>
      <c r="Q109" s="16" t="s">
        <v>530</v>
      </c>
      <c r="R109" s="16" t="s">
        <v>405</v>
      </c>
    </row>
    <row r="110" spans="1:18" x14ac:dyDescent="0.25">
      <c r="A110" s="10">
        <f>ROW(Tabela1[[#This Row],[Toolbox No / Container No]])-1</f>
        <v>109</v>
      </c>
      <c r="B110" s="10" t="s">
        <v>120</v>
      </c>
      <c r="C110" s="10" t="s">
        <v>978</v>
      </c>
      <c r="D110" s="10" t="s">
        <v>96</v>
      </c>
      <c r="E110" s="10" t="s">
        <v>979</v>
      </c>
      <c r="F110" s="10" t="s">
        <v>980</v>
      </c>
      <c r="G110" s="10" t="s">
        <v>741</v>
      </c>
      <c r="H110" s="10"/>
      <c r="I110" s="5" t="s">
        <v>1017</v>
      </c>
      <c r="J110" s="12">
        <v>45904</v>
      </c>
      <c r="K110" s="13">
        <f>EDATE(Tabela1[[#This Row],[Data da calibração/certificação ]],12)</f>
        <v>46269</v>
      </c>
      <c r="L110" s="14">
        <f ca="1">INT(Tabela1[[#This Row],[Próxima data de calibração/certificação]]-TODAY())</f>
        <v>339</v>
      </c>
      <c r="M110" s="16" t="s">
        <v>1018</v>
      </c>
      <c r="N110" s="16" t="s">
        <v>586</v>
      </c>
      <c r="O110" s="16" t="s">
        <v>983</v>
      </c>
      <c r="P110" s="9" t="s">
        <v>10</v>
      </c>
      <c r="Q110" s="16" t="s">
        <v>530</v>
      </c>
      <c r="R110" s="16" t="s">
        <v>406</v>
      </c>
    </row>
    <row r="111" spans="1:18" x14ac:dyDescent="0.25">
      <c r="A111" s="10">
        <f>ROW(Tabela1[[#This Row],[Toolbox No / Container No]])-1</f>
        <v>110</v>
      </c>
      <c r="B111" s="10" t="s">
        <v>121</v>
      </c>
      <c r="C111" s="10" t="s">
        <v>978</v>
      </c>
      <c r="D111" s="10" t="s">
        <v>96</v>
      </c>
      <c r="E111" s="10" t="s">
        <v>979</v>
      </c>
      <c r="F111" s="10" t="s">
        <v>980</v>
      </c>
      <c r="G111" s="10" t="s">
        <v>741</v>
      </c>
      <c r="H111" s="10"/>
      <c r="I111" s="5" t="s">
        <v>1019</v>
      </c>
      <c r="J111" s="12">
        <v>45904</v>
      </c>
      <c r="K111" s="13">
        <f>EDATE(Tabela1[[#This Row],[Data da calibração/certificação ]],12)</f>
        <v>46269</v>
      </c>
      <c r="L111" s="14">
        <f ca="1">INT(Tabela1[[#This Row],[Próxima data de calibração/certificação]]-TODAY())</f>
        <v>339</v>
      </c>
      <c r="M111" s="16" t="s">
        <v>1018</v>
      </c>
      <c r="N111" s="16" t="s">
        <v>586</v>
      </c>
      <c r="O111" s="16" t="s">
        <v>983</v>
      </c>
      <c r="P111" s="9" t="s">
        <v>10</v>
      </c>
      <c r="Q111" s="16" t="s">
        <v>530</v>
      </c>
      <c r="R111" s="16" t="s">
        <v>407</v>
      </c>
    </row>
    <row r="112" spans="1:18" x14ac:dyDescent="0.25">
      <c r="A112" s="10">
        <f>ROW(Tabela1[[#This Row],[Toolbox No / Container No]])-1</f>
        <v>111</v>
      </c>
      <c r="B112" s="10" t="s">
        <v>122</v>
      </c>
      <c r="C112" s="10" t="s">
        <v>978</v>
      </c>
      <c r="D112" s="10" t="s">
        <v>102</v>
      </c>
      <c r="E112" s="10" t="s">
        <v>985</v>
      </c>
      <c r="F112" s="10" t="s">
        <v>980</v>
      </c>
      <c r="G112" s="10" t="s">
        <v>741</v>
      </c>
      <c r="H112" s="10"/>
      <c r="I112" s="5" t="s">
        <v>1020</v>
      </c>
      <c r="J112" s="12">
        <v>45904</v>
      </c>
      <c r="K112" s="13">
        <f>EDATE(Tabela1[[#This Row],[Data da calibração/certificação ]],12)</f>
        <v>46269</v>
      </c>
      <c r="L112" s="14">
        <f ca="1">INT(Tabela1[[#This Row],[Próxima data de calibração/certificação]]-TODAY())</f>
        <v>339</v>
      </c>
      <c r="M112" s="16" t="s">
        <v>1015</v>
      </c>
      <c r="N112" s="16" t="s">
        <v>586</v>
      </c>
      <c r="O112" s="16" t="s">
        <v>983</v>
      </c>
      <c r="P112" s="9" t="s">
        <v>10</v>
      </c>
      <c r="Q112" s="16" t="s">
        <v>530</v>
      </c>
      <c r="R112" s="16" t="s">
        <v>408</v>
      </c>
    </row>
    <row r="113" spans="1:18" x14ac:dyDescent="0.25">
      <c r="A113" s="10">
        <f>ROW(Tabela1[[#This Row],[Toolbox No / Container No]])-1</f>
        <v>112</v>
      </c>
      <c r="B113" s="10" t="s">
        <v>123</v>
      </c>
      <c r="C113" s="10" t="s">
        <v>978</v>
      </c>
      <c r="D113" s="10" t="s">
        <v>118</v>
      </c>
      <c r="E113" s="10">
        <v>163016</v>
      </c>
      <c r="F113" s="10" t="s">
        <v>1021</v>
      </c>
      <c r="G113" s="10" t="s">
        <v>741</v>
      </c>
      <c r="H113" s="10"/>
      <c r="I113" s="5" t="s">
        <v>1022</v>
      </c>
      <c r="J113" s="12">
        <v>45904</v>
      </c>
      <c r="K113" s="13">
        <f>EDATE(Tabela1[[#This Row],[Data da calibração/certificação ]],12)</f>
        <v>46269</v>
      </c>
      <c r="L113" s="14">
        <f ca="1">INT(Tabela1[[#This Row],[Próxima data de calibração/certificação]]-TODAY())</f>
        <v>339</v>
      </c>
      <c r="M113" s="16" t="s">
        <v>1023</v>
      </c>
      <c r="N113" s="16" t="s">
        <v>586</v>
      </c>
      <c r="O113" s="16" t="s">
        <v>983</v>
      </c>
      <c r="P113" s="9" t="s">
        <v>10</v>
      </c>
      <c r="Q113" s="16" t="s">
        <v>530</v>
      </c>
      <c r="R113" s="16" t="s">
        <v>409</v>
      </c>
    </row>
    <row r="114" spans="1:18" x14ac:dyDescent="0.25">
      <c r="A114" s="10">
        <f>ROW(Tabela1[[#This Row],[Toolbox No / Container No]])-1</f>
        <v>113</v>
      </c>
      <c r="B114" s="10" t="s">
        <v>124</v>
      </c>
      <c r="C114" s="10" t="s">
        <v>978</v>
      </c>
      <c r="D114" s="10" t="s">
        <v>1001</v>
      </c>
      <c r="E114" s="10" t="s">
        <v>615</v>
      </c>
      <c r="F114" s="10" t="s">
        <v>980</v>
      </c>
      <c r="G114" s="10" t="s">
        <v>741</v>
      </c>
      <c r="H114" s="10"/>
      <c r="I114" s="5" t="s">
        <v>1024</v>
      </c>
      <c r="J114" s="12">
        <v>45904</v>
      </c>
      <c r="K114" s="13">
        <f>EDATE(Tabela1[[#This Row],[Data da calibração/certificação ]],12)</f>
        <v>46269</v>
      </c>
      <c r="L114" s="14">
        <f ca="1">INT(Tabela1[[#This Row],[Próxima data de calibração/certificação]]-TODAY())</f>
        <v>339</v>
      </c>
      <c r="M114" s="16" t="s">
        <v>1025</v>
      </c>
      <c r="N114" s="16" t="s">
        <v>586</v>
      </c>
      <c r="O114" s="16" t="s">
        <v>983</v>
      </c>
      <c r="P114" s="9" t="s">
        <v>10</v>
      </c>
      <c r="Q114" s="16" t="s">
        <v>530</v>
      </c>
      <c r="R114" s="16" t="s">
        <v>410</v>
      </c>
    </row>
    <row r="115" spans="1:18" x14ac:dyDescent="0.25">
      <c r="A115" s="10">
        <f>ROW(Tabela1[[#This Row],[Toolbox No / Container No]])-1</f>
        <v>114</v>
      </c>
      <c r="B115" s="10" t="s">
        <v>15</v>
      </c>
      <c r="C115" s="10" t="s">
        <v>1026</v>
      </c>
      <c r="D115" s="10" t="s">
        <v>879</v>
      </c>
      <c r="E115" s="10" t="s">
        <v>615</v>
      </c>
      <c r="F115" s="10" t="s">
        <v>1027</v>
      </c>
      <c r="G115" s="10" t="s">
        <v>1028</v>
      </c>
      <c r="H115" s="10"/>
      <c r="I115" s="4" t="s">
        <v>1029</v>
      </c>
      <c r="J115" s="12">
        <v>45861.70416666667</v>
      </c>
      <c r="K115" s="13">
        <f>EDATE(Tabela1[[#This Row],[Data da calibração/certificação ]],12)</f>
        <v>46226</v>
      </c>
      <c r="L115" s="14">
        <f ca="1">INT(Tabela1[[#This Row],[Próxima data de calibração/certificação]]-TODAY())</f>
        <v>296</v>
      </c>
      <c r="M115" s="16" t="s">
        <v>1030</v>
      </c>
      <c r="N115" s="16" t="s">
        <v>586</v>
      </c>
      <c r="O115" s="16" t="s">
        <v>1031</v>
      </c>
      <c r="P115" s="9" t="s">
        <v>10</v>
      </c>
      <c r="Q115" s="16" t="s">
        <v>531</v>
      </c>
      <c r="R115" s="16" t="s">
        <v>411</v>
      </c>
    </row>
    <row r="116" spans="1:18" x14ac:dyDescent="0.25">
      <c r="A116" s="10">
        <f>ROW(Tabela1[[#This Row],[Toolbox No / Container No]])-1</f>
        <v>115</v>
      </c>
      <c r="B116" s="10" t="s">
        <v>13</v>
      </c>
      <c r="C116" s="10" t="s">
        <v>1026</v>
      </c>
      <c r="D116" s="10" t="s">
        <v>879</v>
      </c>
      <c r="E116" s="10" t="s">
        <v>615</v>
      </c>
      <c r="F116" s="10" t="s">
        <v>1027</v>
      </c>
      <c r="G116" s="10" t="s">
        <v>1032</v>
      </c>
      <c r="H116" s="10"/>
      <c r="I116" s="4" t="s">
        <v>1033</v>
      </c>
      <c r="J116" s="12">
        <v>45861.70416666667</v>
      </c>
      <c r="K116" s="13">
        <f>EDATE(Tabela1[[#This Row],[Data da calibração/certificação ]],12)</f>
        <v>46226</v>
      </c>
      <c r="L116" s="14">
        <f ca="1">INT(Tabela1[[#This Row],[Próxima data de calibração/certificação]]-TODAY())</f>
        <v>296</v>
      </c>
      <c r="M116" s="16" t="s">
        <v>1034</v>
      </c>
      <c r="N116" s="16" t="s">
        <v>586</v>
      </c>
      <c r="O116" s="16" t="s">
        <v>1031</v>
      </c>
      <c r="P116" s="9" t="s">
        <v>10</v>
      </c>
      <c r="Q116" s="16" t="s">
        <v>531</v>
      </c>
      <c r="R116" s="16" t="s">
        <v>412</v>
      </c>
    </row>
    <row r="117" spans="1:18" x14ac:dyDescent="0.25">
      <c r="A117" s="10">
        <f>ROW(Tabela1[[#This Row],[Toolbox No / Container No]])-1</f>
        <v>116</v>
      </c>
      <c r="B117" s="10" t="s">
        <v>137</v>
      </c>
      <c r="C117" s="10" t="s">
        <v>1035</v>
      </c>
      <c r="D117" s="10" t="s">
        <v>1036</v>
      </c>
      <c r="E117" s="10" t="s">
        <v>1037</v>
      </c>
      <c r="F117" s="10" t="s">
        <v>741</v>
      </c>
      <c r="G117" s="10" t="s">
        <v>1038</v>
      </c>
      <c r="H117" s="10" t="s">
        <v>138</v>
      </c>
      <c r="I117" s="5" t="s">
        <v>1039</v>
      </c>
      <c r="J117" s="12">
        <v>45874</v>
      </c>
      <c r="K117" s="13">
        <f>EDATE(Tabela1[[#This Row],[Data da calibração/certificação ]],12)</f>
        <v>46239</v>
      </c>
      <c r="L117" s="14">
        <f ca="1">INT(Tabela1[[#This Row],[Próxima data de calibração/certificação]]-TODAY())</f>
        <v>309</v>
      </c>
      <c r="M117" s="16" t="s">
        <v>1040</v>
      </c>
      <c r="N117" s="16" t="s">
        <v>586</v>
      </c>
      <c r="O117" s="16" t="s">
        <v>1041</v>
      </c>
      <c r="P117" s="9" t="s">
        <v>10</v>
      </c>
      <c r="Q117" s="16" t="s">
        <v>532</v>
      </c>
      <c r="R117" s="16" t="s">
        <v>413</v>
      </c>
    </row>
    <row r="118" spans="1:18" x14ac:dyDescent="0.25">
      <c r="A118" s="10">
        <f>ROW(Tabela1[[#This Row],[Toolbox No / Container No]])-1</f>
        <v>117</v>
      </c>
      <c r="B118" s="10" t="s">
        <v>139</v>
      </c>
      <c r="C118" s="10" t="s">
        <v>1035</v>
      </c>
      <c r="D118" s="10" t="s">
        <v>1042</v>
      </c>
      <c r="E118" s="10" t="s">
        <v>1043</v>
      </c>
      <c r="F118" s="10" t="s">
        <v>741</v>
      </c>
      <c r="G118" s="10" t="s">
        <v>1044</v>
      </c>
      <c r="H118" s="10" t="s">
        <v>140</v>
      </c>
      <c r="I118" s="5" t="s">
        <v>1045</v>
      </c>
      <c r="J118" s="12">
        <v>45877</v>
      </c>
      <c r="K118" s="13">
        <f>EDATE(Tabela1[[#This Row],[Data da calibração/certificação ]],12)</f>
        <v>46242</v>
      </c>
      <c r="L118" s="14">
        <f ca="1">INT(Tabela1[[#This Row],[Próxima data de calibração/certificação]]-TODAY())</f>
        <v>312</v>
      </c>
      <c r="M118" s="16" t="s">
        <v>1046</v>
      </c>
      <c r="N118" s="16" t="s">
        <v>586</v>
      </c>
      <c r="O118" s="16" t="s">
        <v>1041</v>
      </c>
      <c r="P118" s="9" t="s">
        <v>10</v>
      </c>
      <c r="Q118" s="16" t="s">
        <v>532</v>
      </c>
      <c r="R118" s="16" t="s">
        <v>414</v>
      </c>
    </row>
    <row r="119" spans="1:18" x14ac:dyDescent="0.25">
      <c r="A119" s="10">
        <f>ROW(Tabela1[[#This Row],[Toolbox No / Container No]])-1</f>
        <v>118</v>
      </c>
      <c r="B119" s="10" t="s">
        <v>40</v>
      </c>
      <c r="C119" s="10" t="s">
        <v>1047</v>
      </c>
      <c r="D119" s="10" t="s">
        <v>1048</v>
      </c>
      <c r="E119" s="10" t="s">
        <v>1049</v>
      </c>
      <c r="F119" s="10" t="s">
        <v>693</v>
      </c>
      <c r="G119" s="10" t="s">
        <v>1050</v>
      </c>
      <c r="H119" s="10" t="s">
        <v>41</v>
      </c>
      <c r="I119" s="4" t="s">
        <v>1051</v>
      </c>
      <c r="J119" s="12">
        <v>45842.575694444444</v>
      </c>
      <c r="K119" s="13">
        <f>EDATE(Tabela1[[#This Row],[Data da calibração/certificação ]],12)</f>
        <v>46207</v>
      </c>
      <c r="L119" s="14">
        <f ca="1">INT(Tabela1[[#This Row],[Próxima data de calibração/certificação]]-TODAY())</f>
        <v>277</v>
      </c>
      <c r="M119" s="16" t="s">
        <v>1052</v>
      </c>
      <c r="N119" s="16" t="s">
        <v>586</v>
      </c>
      <c r="O119" s="16" t="s">
        <v>1053</v>
      </c>
      <c r="P119" s="9" t="s">
        <v>10</v>
      </c>
      <c r="Q119" s="16" t="s">
        <v>533</v>
      </c>
      <c r="R119" s="16" t="s">
        <v>415</v>
      </c>
    </row>
    <row r="120" spans="1:18" x14ac:dyDescent="0.25">
      <c r="A120" s="10">
        <f>ROW(Tabela1[[#This Row],[Toolbox No / Container No]])-1</f>
        <v>119</v>
      </c>
      <c r="B120" s="10" t="s">
        <v>34</v>
      </c>
      <c r="C120" s="10" t="s">
        <v>1047</v>
      </c>
      <c r="D120" s="10" t="s">
        <v>1048</v>
      </c>
      <c r="E120" s="10" t="s">
        <v>1049</v>
      </c>
      <c r="F120" s="10" t="s">
        <v>693</v>
      </c>
      <c r="G120" s="10" t="s">
        <v>1050</v>
      </c>
      <c r="H120" s="10" t="s">
        <v>35</v>
      </c>
      <c r="I120" s="4" t="s">
        <v>1054</v>
      </c>
      <c r="J120" s="12">
        <v>45842.576388888891</v>
      </c>
      <c r="K120" s="13">
        <f>EDATE(Tabela1[[#This Row],[Data da calibração/certificação ]],12)</f>
        <v>46207</v>
      </c>
      <c r="L120" s="14">
        <f ca="1">INT(Tabela1[[#This Row],[Próxima data de calibração/certificação]]-TODAY())</f>
        <v>277</v>
      </c>
      <c r="M120" s="16" t="s">
        <v>1052</v>
      </c>
      <c r="N120" s="16" t="s">
        <v>586</v>
      </c>
      <c r="O120" s="16" t="s">
        <v>1053</v>
      </c>
      <c r="P120" s="9" t="s">
        <v>10</v>
      </c>
      <c r="Q120" s="16" t="s">
        <v>533</v>
      </c>
      <c r="R120" s="16" t="s">
        <v>416</v>
      </c>
    </row>
    <row r="121" spans="1:18" x14ac:dyDescent="0.25">
      <c r="A121" s="10">
        <f>ROW(Tabela1[[#This Row],[Toolbox No / Container No]])-1</f>
        <v>120</v>
      </c>
      <c r="B121" s="10" t="s">
        <v>36</v>
      </c>
      <c r="C121" s="10" t="s">
        <v>1047</v>
      </c>
      <c r="D121" s="10" t="s">
        <v>1048</v>
      </c>
      <c r="E121" s="10" t="s">
        <v>1049</v>
      </c>
      <c r="F121" s="10" t="s">
        <v>693</v>
      </c>
      <c r="G121" s="10" t="s">
        <v>1050</v>
      </c>
      <c r="H121" s="10" t="s">
        <v>37</v>
      </c>
      <c r="I121" s="4" t="s">
        <v>1055</v>
      </c>
      <c r="J121" s="12">
        <v>45842.572916666664</v>
      </c>
      <c r="K121" s="13">
        <f>EDATE(Tabela1[[#This Row],[Data da calibração/certificação ]],12)</f>
        <v>46207</v>
      </c>
      <c r="L121" s="14">
        <f ca="1">INT(Tabela1[[#This Row],[Próxima data de calibração/certificação]]-TODAY())</f>
        <v>277</v>
      </c>
      <c r="M121" s="16" t="s">
        <v>1052</v>
      </c>
      <c r="N121" s="16" t="s">
        <v>586</v>
      </c>
      <c r="O121" s="16" t="s">
        <v>1053</v>
      </c>
      <c r="P121" s="9" t="s">
        <v>10</v>
      </c>
      <c r="Q121" s="16" t="s">
        <v>533</v>
      </c>
      <c r="R121" s="16" t="s">
        <v>417</v>
      </c>
    </row>
    <row r="122" spans="1:18" x14ac:dyDescent="0.25">
      <c r="A122" s="10">
        <f>ROW(Tabela1[[#This Row],[Toolbox No / Container No]])-1</f>
        <v>121</v>
      </c>
      <c r="B122" s="10" t="s">
        <v>38</v>
      </c>
      <c r="C122" s="10" t="s">
        <v>1047</v>
      </c>
      <c r="D122" s="10" t="s">
        <v>1048</v>
      </c>
      <c r="E122" s="10" t="s">
        <v>1049</v>
      </c>
      <c r="F122" s="10" t="s">
        <v>1056</v>
      </c>
      <c r="G122" s="10" t="s">
        <v>1050</v>
      </c>
      <c r="H122" s="10" t="s">
        <v>39</v>
      </c>
      <c r="I122" s="4" t="s">
        <v>1057</v>
      </c>
      <c r="J122" s="12">
        <v>45842.574305555558</v>
      </c>
      <c r="K122" s="13">
        <f>EDATE(Tabela1[[#This Row],[Data da calibração/certificação ]],12)</f>
        <v>46207</v>
      </c>
      <c r="L122" s="14">
        <f ca="1">INT(Tabela1[[#This Row],[Próxima data de calibração/certificação]]-TODAY())</f>
        <v>277</v>
      </c>
      <c r="M122" s="16" t="s">
        <v>1052</v>
      </c>
      <c r="N122" s="16" t="s">
        <v>586</v>
      </c>
      <c r="O122" s="16" t="s">
        <v>1053</v>
      </c>
      <c r="P122" s="9" t="s">
        <v>10</v>
      </c>
      <c r="Q122" s="16" t="s">
        <v>533</v>
      </c>
      <c r="R122" s="16" t="s">
        <v>418</v>
      </c>
    </row>
    <row r="123" spans="1:18" x14ac:dyDescent="0.25">
      <c r="A123" s="10">
        <f>ROW(Tabela1[[#This Row],[Toolbox No / Container No]])-1</f>
        <v>122</v>
      </c>
      <c r="B123" s="10" t="s">
        <v>90</v>
      </c>
      <c r="C123" s="10" t="s">
        <v>1047</v>
      </c>
      <c r="D123" s="10" t="s">
        <v>962</v>
      </c>
      <c r="E123" s="10" t="s">
        <v>1058</v>
      </c>
      <c r="F123" s="10" t="s">
        <v>1059</v>
      </c>
      <c r="G123" s="10" t="s">
        <v>1060</v>
      </c>
      <c r="H123" s="10" t="s">
        <v>91</v>
      </c>
      <c r="I123" s="4" t="s">
        <v>1061</v>
      </c>
      <c r="J123" s="12">
        <v>45861.384027777778</v>
      </c>
      <c r="K123" s="13">
        <f>EDATE(Tabela1[[#This Row],[Data da calibração/certificação ]],12)</f>
        <v>46226</v>
      </c>
      <c r="L123" s="14">
        <f ca="1">INT(Tabela1[[#This Row],[Próxima data de calibração/certificação]]-TODAY())</f>
        <v>296</v>
      </c>
      <c r="M123" s="16" t="s">
        <v>1062</v>
      </c>
      <c r="N123" s="16" t="s">
        <v>586</v>
      </c>
      <c r="O123" s="16" t="s">
        <v>1053</v>
      </c>
      <c r="P123" s="9" t="s">
        <v>10</v>
      </c>
      <c r="Q123" s="16" t="s">
        <v>533</v>
      </c>
      <c r="R123" s="16" t="s">
        <v>419</v>
      </c>
    </row>
    <row r="124" spans="1:18" x14ac:dyDescent="0.25">
      <c r="A124" s="10">
        <f>ROW(Tabela1[[#This Row],[Toolbox No / Container No]])-1</f>
        <v>123</v>
      </c>
      <c r="B124" s="15" t="s">
        <v>301</v>
      </c>
      <c r="C124" s="15" t="s">
        <v>579</v>
      </c>
      <c r="D124" s="15" t="s">
        <v>580</v>
      </c>
      <c r="E124" s="15" t="s">
        <v>581</v>
      </c>
      <c r="F124" s="15" t="s">
        <v>582</v>
      </c>
      <c r="G124" s="15" t="s">
        <v>583</v>
      </c>
      <c r="H124" s="15"/>
      <c r="I124" s="6" t="s">
        <v>1063</v>
      </c>
      <c r="J124" s="13">
        <v>45777.900694444441</v>
      </c>
      <c r="K124" s="13">
        <f>EDATE(Tabela1[[#This Row],[Data da calibração/certificação ]],12)</f>
        <v>46142</v>
      </c>
      <c r="L124" s="14">
        <f ca="1">INT(Tabela1[[#This Row],[Próxima data de calibração/certificação]]-TODAY())</f>
        <v>212</v>
      </c>
      <c r="M124" s="16" t="s">
        <v>585</v>
      </c>
      <c r="N124" s="16" t="s">
        <v>586</v>
      </c>
      <c r="O124" s="16" t="s">
        <v>587</v>
      </c>
      <c r="P124" s="9" t="s">
        <v>10</v>
      </c>
      <c r="Q124" s="16" t="s">
        <v>533</v>
      </c>
      <c r="R124" s="16" t="s">
        <v>420</v>
      </c>
    </row>
    <row r="125" spans="1:18" x14ac:dyDescent="0.25">
      <c r="A125" s="10">
        <f>ROW(Tabela1[[#This Row],[Toolbox No / Container No]])-1</f>
        <v>124</v>
      </c>
      <c r="B125" s="10" t="s">
        <v>229</v>
      </c>
      <c r="C125" s="10" t="s">
        <v>1064</v>
      </c>
      <c r="D125" s="10" t="s">
        <v>879</v>
      </c>
      <c r="E125" s="10">
        <v>100042</v>
      </c>
      <c r="F125" s="10" t="s">
        <v>1065</v>
      </c>
      <c r="G125" s="10" t="s">
        <v>1060</v>
      </c>
      <c r="H125" s="10" t="s">
        <v>230</v>
      </c>
      <c r="I125" s="4" t="s">
        <v>1063</v>
      </c>
      <c r="J125" s="12">
        <v>45727.45416666667</v>
      </c>
      <c r="K125" s="13">
        <f>EDATE(Tabela1[[#This Row],[Data da calibração/certificação ]],12)</f>
        <v>46092</v>
      </c>
      <c r="L125" s="14">
        <f ca="1">INT(Tabela1[[#This Row],[Próxima data de calibração/certificação]]-TODAY())</f>
        <v>162</v>
      </c>
      <c r="M125" s="16" t="s">
        <v>1066</v>
      </c>
      <c r="N125" s="16" t="s">
        <v>586</v>
      </c>
      <c r="O125" s="16" t="s">
        <v>1067</v>
      </c>
      <c r="P125" s="9" t="s">
        <v>10</v>
      </c>
      <c r="Q125" s="16" t="s">
        <v>533</v>
      </c>
      <c r="R125" s="16" t="s">
        <v>421</v>
      </c>
    </row>
    <row r="126" spans="1:18" x14ac:dyDescent="0.25">
      <c r="A126" s="10">
        <f>ROW(Tabela1[[#This Row],[Toolbox No / Container No]])-1</f>
        <v>125</v>
      </c>
      <c r="B126" s="15" t="s">
        <v>288</v>
      </c>
      <c r="C126" s="15" t="s">
        <v>1047</v>
      </c>
      <c r="D126" s="15" t="s">
        <v>879</v>
      </c>
      <c r="E126" s="15" t="s">
        <v>615</v>
      </c>
      <c r="F126" s="15" t="s">
        <v>716</v>
      </c>
      <c r="G126" s="15" t="s">
        <v>1060</v>
      </c>
      <c r="H126" s="15"/>
      <c r="I126" s="6" t="s">
        <v>1068</v>
      </c>
      <c r="J126" s="13">
        <v>45805.570138888892</v>
      </c>
      <c r="K126" s="13">
        <f>EDATE(Tabela1[[#This Row],[Data da calibração/certificação ]],12)</f>
        <v>46170</v>
      </c>
      <c r="L126" s="14">
        <f ca="1">INT(Tabela1[[#This Row],[Próxima data de calibração/certificação]]-TODAY())</f>
        <v>240</v>
      </c>
      <c r="M126" s="16" t="s">
        <v>1069</v>
      </c>
      <c r="N126" s="16" t="s">
        <v>586</v>
      </c>
      <c r="O126" s="16" t="s">
        <v>1067</v>
      </c>
      <c r="P126" s="9" t="s">
        <v>10</v>
      </c>
      <c r="Q126" s="16" t="s">
        <v>533</v>
      </c>
      <c r="R126" s="16" t="s">
        <v>422</v>
      </c>
    </row>
    <row r="127" spans="1:18" x14ac:dyDescent="0.25">
      <c r="A127" s="10">
        <f>ROW(Tabela1[[#This Row],[Toolbox No / Container No]])-1</f>
        <v>126</v>
      </c>
      <c r="B127" s="10" t="s">
        <v>201</v>
      </c>
      <c r="C127" s="10" t="s">
        <v>1070</v>
      </c>
      <c r="D127" s="10" t="s">
        <v>879</v>
      </c>
      <c r="E127" s="10" t="s">
        <v>615</v>
      </c>
      <c r="F127" s="10" t="s">
        <v>688</v>
      </c>
      <c r="G127" s="10" t="s">
        <v>874</v>
      </c>
      <c r="H127" s="10"/>
      <c r="I127" s="4" t="s">
        <v>1071</v>
      </c>
      <c r="J127" s="12">
        <v>45794.651388888888</v>
      </c>
      <c r="K127" s="13">
        <f>EDATE(Tabela1[[#This Row],[Data da calibração/certificação ]],12)</f>
        <v>46159</v>
      </c>
      <c r="L127" s="14">
        <f ca="1">INT(Tabela1[[#This Row],[Próxima data de calibração/certificação]]-TODAY())</f>
        <v>229</v>
      </c>
      <c r="M127" s="16" t="s">
        <v>1072</v>
      </c>
      <c r="N127" s="16" t="s">
        <v>586</v>
      </c>
      <c r="O127" s="16" t="s">
        <v>1067</v>
      </c>
      <c r="P127" s="9" t="s">
        <v>10</v>
      </c>
      <c r="Q127" s="16" t="s">
        <v>534</v>
      </c>
      <c r="R127" s="16" t="s">
        <v>423</v>
      </c>
    </row>
    <row r="128" spans="1:18" x14ac:dyDescent="0.25">
      <c r="A128" s="10">
        <f>ROW(Tabela1[[#This Row],[Toolbox No / Container No]])-1</f>
        <v>127</v>
      </c>
      <c r="B128" s="10" t="s">
        <v>202</v>
      </c>
      <c r="C128" s="10" t="s">
        <v>1070</v>
      </c>
      <c r="D128" s="10" t="s">
        <v>615</v>
      </c>
      <c r="E128" s="10" t="s">
        <v>615</v>
      </c>
      <c r="F128" s="10" t="s">
        <v>693</v>
      </c>
      <c r="G128" s="10" t="s">
        <v>874</v>
      </c>
      <c r="H128" s="10"/>
      <c r="I128" s="4" t="s">
        <v>1073</v>
      </c>
      <c r="J128" s="12">
        <v>45727.347916666666</v>
      </c>
      <c r="K128" s="13">
        <f>EDATE(Tabela1[[#This Row],[Data da calibração/certificação ]],12)</f>
        <v>46092</v>
      </c>
      <c r="L128" s="14">
        <f ca="1">INT(Tabela1[[#This Row],[Próxima data de calibração/certificação]]-TODAY())</f>
        <v>162</v>
      </c>
      <c r="M128" s="16" t="s">
        <v>1074</v>
      </c>
      <c r="N128" s="16" t="s">
        <v>586</v>
      </c>
      <c r="O128" s="16" t="s">
        <v>1053</v>
      </c>
      <c r="P128" s="9" t="s">
        <v>10</v>
      </c>
      <c r="Q128" s="16" t="s">
        <v>534</v>
      </c>
      <c r="R128" s="16" t="s">
        <v>424</v>
      </c>
    </row>
    <row r="129" spans="1:18" x14ac:dyDescent="0.25">
      <c r="A129" s="10">
        <f>ROW(Tabela1[[#This Row],[Toolbox No / Container No]])-1</f>
        <v>128</v>
      </c>
      <c r="B129" s="10" t="s">
        <v>231</v>
      </c>
      <c r="C129" s="10" t="s">
        <v>1070</v>
      </c>
      <c r="D129" s="10" t="s">
        <v>1075</v>
      </c>
      <c r="E129" s="10" t="s">
        <v>615</v>
      </c>
      <c r="F129" s="10" t="s">
        <v>688</v>
      </c>
      <c r="G129" s="10" t="s">
        <v>874</v>
      </c>
      <c r="H129" s="10"/>
      <c r="I129" s="4" t="s">
        <v>1076</v>
      </c>
      <c r="J129" s="12">
        <v>45707.476388888892</v>
      </c>
      <c r="K129" s="13">
        <f>EDATE(Tabela1[[#This Row],[Data da calibração/certificação ]],12)</f>
        <v>46072</v>
      </c>
      <c r="L129" s="14">
        <f ca="1">INT(Tabela1[[#This Row],[Próxima data de calibração/certificação]]-TODAY())</f>
        <v>142</v>
      </c>
      <c r="M129" s="16" t="s">
        <v>1077</v>
      </c>
      <c r="N129" s="16" t="s">
        <v>586</v>
      </c>
      <c r="O129" s="16" t="s">
        <v>1067</v>
      </c>
      <c r="P129" s="9" t="s">
        <v>10</v>
      </c>
      <c r="Q129" s="16" t="s">
        <v>534</v>
      </c>
      <c r="R129" s="16" t="s">
        <v>425</v>
      </c>
    </row>
    <row r="130" spans="1:18" x14ac:dyDescent="0.25">
      <c r="A130" s="10">
        <f>ROW(Tabela1[[#This Row],[Toolbox No / Container No]])-1</f>
        <v>129</v>
      </c>
      <c r="B130" s="15" t="s">
        <v>285</v>
      </c>
      <c r="C130" s="15" t="s">
        <v>1070</v>
      </c>
      <c r="D130" s="15" t="s">
        <v>879</v>
      </c>
      <c r="E130" s="15" t="s">
        <v>1078</v>
      </c>
      <c r="F130" s="15" t="s">
        <v>688</v>
      </c>
      <c r="G130" s="15" t="s">
        <v>874</v>
      </c>
      <c r="H130" s="15"/>
      <c r="I130" s="6" t="s">
        <v>1079</v>
      </c>
      <c r="J130" s="13">
        <v>45727.652777777781</v>
      </c>
      <c r="K130" s="13">
        <f>EDATE(Tabela1[[#This Row],[Data da calibração/certificação ]],12)</f>
        <v>46092</v>
      </c>
      <c r="L130" s="14">
        <f ca="1">INT(Tabela1[[#This Row],[Próxima data de calibração/certificação]]-TODAY())</f>
        <v>162</v>
      </c>
      <c r="M130" s="16" t="s">
        <v>1080</v>
      </c>
      <c r="N130" s="16" t="s">
        <v>586</v>
      </c>
      <c r="O130" s="16" t="s">
        <v>1067</v>
      </c>
      <c r="P130" s="9" t="s">
        <v>10</v>
      </c>
      <c r="Q130" s="16" t="s">
        <v>534</v>
      </c>
      <c r="R130" s="16" t="s">
        <v>426</v>
      </c>
    </row>
    <row r="131" spans="1:18" x14ac:dyDescent="0.25">
      <c r="A131" s="10">
        <f>ROW(Tabela1[[#This Row],[Toolbox No / Container No]])-1</f>
        <v>130</v>
      </c>
      <c r="B131" s="15" t="s">
        <v>286</v>
      </c>
      <c r="C131" s="15" t="s">
        <v>1070</v>
      </c>
      <c r="D131" s="15" t="s">
        <v>879</v>
      </c>
      <c r="E131" s="15" t="s">
        <v>615</v>
      </c>
      <c r="F131" s="15" t="s">
        <v>1081</v>
      </c>
      <c r="G131" s="15" t="s">
        <v>874</v>
      </c>
      <c r="H131" s="15"/>
      <c r="I131" s="6" t="s">
        <v>1082</v>
      </c>
      <c r="J131" s="13">
        <v>45707.629861111112</v>
      </c>
      <c r="K131" s="13">
        <f>EDATE(Tabela1[[#This Row],[Data da calibração/certificação ]],12)</f>
        <v>46072</v>
      </c>
      <c r="L131" s="14">
        <f ca="1">INT(Tabela1[[#This Row],[Próxima data de calibração/certificação]]-TODAY())</f>
        <v>142</v>
      </c>
      <c r="M131" s="16" t="s">
        <v>1077</v>
      </c>
      <c r="N131" s="16" t="s">
        <v>586</v>
      </c>
      <c r="O131" s="16" t="s">
        <v>1067</v>
      </c>
      <c r="P131" s="9" t="s">
        <v>10</v>
      </c>
      <c r="Q131" s="16" t="s">
        <v>534</v>
      </c>
      <c r="R131" s="16" t="s">
        <v>427</v>
      </c>
    </row>
    <row r="132" spans="1:18" x14ac:dyDescent="0.25">
      <c r="A132" s="10">
        <f>ROW(Tabela1[[#This Row],[Toolbox No / Container No]])-1</f>
        <v>131</v>
      </c>
      <c r="B132" s="15" t="s">
        <v>287</v>
      </c>
      <c r="C132" s="15" t="s">
        <v>1070</v>
      </c>
      <c r="D132" s="15" t="s">
        <v>696</v>
      </c>
      <c r="E132" s="15" t="s">
        <v>615</v>
      </c>
      <c r="F132" s="15" t="s">
        <v>1081</v>
      </c>
      <c r="G132" s="15" t="s">
        <v>874</v>
      </c>
      <c r="H132" s="15"/>
      <c r="I132" s="6" t="s">
        <v>1083</v>
      </c>
      <c r="J132" s="13">
        <v>45727.65902777778</v>
      </c>
      <c r="K132" s="13">
        <f>EDATE(Tabela1[[#This Row],[Data da calibração/certificação ]],12)</f>
        <v>46092</v>
      </c>
      <c r="L132" s="14">
        <f ca="1">INT(Tabela1[[#This Row],[Próxima data de calibração/certificação]]-TODAY())</f>
        <v>162</v>
      </c>
      <c r="M132" s="16" t="s">
        <v>1084</v>
      </c>
      <c r="N132" s="16" t="s">
        <v>586</v>
      </c>
      <c r="O132" s="16" t="s">
        <v>1067</v>
      </c>
      <c r="P132" s="9" t="s">
        <v>10</v>
      </c>
      <c r="Q132" s="16" t="s">
        <v>534</v>
      </c>
      <c r="R132" s="16" t="s">
        <v>428</v>
      </c>
    </row>
    <row r="133" spans="1:18" x14ac:dyDescent="0.25">
      <c r="A133" s="10">
        <f>ROW(Tabela1[[#This Row],[Toolbox No / Container No]])-1</f>
        <v>132</v>
      </c>
      <c r="B133" s="10" t="s">
        <v>33</v>
      </c>
      <c r="C133" s="10" t="s">
        <v>1085</v>
      </c>
      <c r="D133" s="10" t="s">
        <v>879</v>
      </c>
      <c r="E133" s="10" t="s">
        <v>1086</v>
      </c>
      <c r="F133" s="10" t="s">
        <v>1087</v>
      </c>
      <c r="G133" s="10" t="s">
        <v>1060</v>
      </c>
      <c r="H133" s="10"/>
      <c r="I133" s="4" t="s">
        <v>1088</v>
      </c>
      <c r="J133" s="12">
        <v>45842.57708333333</v>
      </c>
      <c r="K133" s="13">
        <f>EDATE(Tabela1[[#This Row],[Data da calibração/certificação ]],12)</f>
        <v>46207</v>
      </c>
      <c r="L133" s="14">
        <f ca="1">INT(Tabela1[[#This Row],[Próxima data de calibração/certificação]]-TODAY())</f>
        <v>277</v>
      </c>
      <c r="M133" s="16" t="s">
        <v>1052</v>
      </c>
      <c r="N133" s="16" t="s">
        <v>586</v>
      </c>
      <c r="O133" s="16" t="s">
        <v>1053</v>
      </c>
      <c r="P133" s="9" t="s">
        <v>10</v>
      </c>
      <c r="Q133" s="16" t="s">
        <v>535</v>
      </c>
      <c r="R133" s="16" t="s">
        <v>429</v>
      </c>
    </row>
    <row r="134" spans="1:18" x14ac:dyDescent="0.25">
      <c r="A134" s="10">
        <f>ROW(Tabela1[[#This Row],[Toolbox No / Container No]])-1</f>
        <v>133</v>
      </c>
      <c r="B134" s="15" t="s">
        <v>155</v>
      </c>
      <c r="C134" s="15" t="s">
        <v>1089</v>
      </c>
      <c r="D134" s="15" t="s">
        <v>1090</v>
      </c>
      <c r="E134" s="15" t="s">
        <v>1091</v>
      </c>
      <c r="F134" s="15" t="s">
        <v>1092</v>
      </c>
      <c r="G134" s="15" t="s">
        <v>741</v>
      </c>
      <c r="H134" s="15" t="s">
        <v>156</v>
      </c>
      <c r="I134" s="3" t="s">
        <v>1093</v>
      </c>
      <c r="J134" s="13">
        <v>45744.711111111108</v>
      </c>
      <c r="K134" s="13">
        <f>EDATE(Tabela1[[#This Row],[Data da calibração/certificação ]],12)</f>
        <v>46109</v>
      </c>
      <c r="L134" s="14">
        <f ca="1">INT(Tabela1[[#This Row],[Próxima data de calibração/certificação]]-TODAY())</f>
        <v>179</v>
      </c>
      <c r="M134" s="16" t="s">
        <v>1094</v>
      </c>
      <c r="N134" s="16" t="s">
        <v>586</v>
      </c>
      <c r="O134" s="16" t="s">
        <v>1095</v>
      </c>
      <c r="P134" s="9" t="s">
        <v>10</v>
      </c>
      <c r="Q134" s="16" t="s">
        <v>536</v>
      </c>
      <c r="R134" s="16" t="s">
        <v>430</v>
      </c>
    </row>
    <row r="135" spans="1:18" x14ac:dyDescent="0.25">
      <c r="A135" s="10">
        <f>ROW(Tabela1[[#This Row],[Toolbox No / Container No]])-1</f>
        <v>134</v>
      </c>
      <c r="B135" s="15" t="s">
        <v>153</v>
      </c>
      <c r="C135" s="15" t="s">
        <v>1096</v>
      </c>
      <c r="D135" s="15" t="s">
        <v>1097</v>
      </c>
      <c r="E135" s="15" t="s">
        <v>1098</v>
      </c>
      <c r="F135" s="15" t="s">
        <v>1099</v>
      </c>
      <c r="G135" s="15" t="s">
        <v>741</v>
      </c>
      <c r="H135" s="15" t="s">
        <v>154</v>
      </c>
      <c r="I135" s="3" t="s">
        <v>1100</v>
      </c>
      <c r="J135" s="13">
        <v>45770.385416666664</v>
      </c>
      <c r="K135" s="13">
        <f>EDATE(Tabela1[[#This Row],[Data da calibração/certificação ]],12)</f>
        <v>46135</v>
      </c>
      <c r="L135" s="14">
        <f ca="1">INT(Tabela1[[#This Row],[Próxima data de calibração/certificação]]-TODAY())</f>
        <v>205</v>
      </c>
      <c r="M135" s="16" t="s">
        <v>1101</v>
      </c>
      <c r="N135" s="16" t="s">
        <v>586</v>
      </c>
      <c r="O135" s="16" t="s">
        <v>1102</v>
      </c>
      <c r="P135" s="9" t="s">
        <v>10</v>
      </c>
      <c r="Q135" s="16" t="s">
        <v>537</v>
      </c>
      <c r="R135" s="16" t="s">
        <v>431</v>
      </c>
    </row>
    <row r="136" spans="1:18" x14ac:dyDescent="0.25">
      <c r="A136" s="10">
        <f>ROW(Tabela1[[#This Row],[Toolbox No / Container No]])-1</f>
        <v>135</v>
      </c>
      <c r="B136" s="15" t="s">
        <v>291</v>
      </c>
      <c r="C136" s="15" t="s">
        <v>579</v>
      </c>
      <c r="D136" s="15" t="s">
        <v>594</v>
      </c>
      <c r="E136" s="15">
        <v>305</v>
      </c>
      <c r="F136" s="15" t="s">
        <v>582</v>
      </c>
      <c r="G136" s="15" t="s">
        <v>583</v>
      </c>
      <c r="H136" s="15"/>
      <c r="I136" s="6" t="s">
        <v>1103</v>
      </c>
      <c r="J136" s="13">
        <v>45701.637499999997</v>
      </c>
      <c r="K136" s="13">
        <f>EDATE(Tabela1[[#This Row],[Data da calibração/certificação ]],12)</f>
        <v>46066</v>
      </c>
      <c r="L136" s="14">
        <f ca="1">INT(Tabela1[[#This Row],[Próxima data de calibração/certificação]]-TODAY())</f>
        <v>136</v>
      </c>
      <c r="M136" s="16" t="s">
        <v>599</v>
      </c>
      <c r="N136" s="16" t="s">
        <v>586</v>
      </c>
      <c r="O136" s="16" t="s">
        <v>587</v>
      </c>
      <c r="P136" s="9" t="s">
        <v>10</v>
      </c>
      <c r="Q136" s="16" t="s">
        <v>538</v>
      </c>
      <c r="R136" s="16" t="s">
        <v>432</v>
      </c>
    </row>
    <row r="137" spans="1:18" x14ac:dyDescent="0.25">
      <c r="A137" s="10">
        <f>ROW(Tabela1[[#This Row],[Toolbox No / Container No]])-1</f>
        <v>136</v>
      </c>
      <c r="B137" s="10" t="s">
        <v>57</v>
      </c>
      <c r="C137" s="10" t="s">
        <v>1104</v>
      </c>
      <c r="D137" s="10" t="s">
        <v>962</v>
      </c>
      <c r="E137" s="10">
        <v>200478</v>
      </c>
      <c r="F137" s="10" t="s">
        <v>1105</v>
      </c>
      <c r="G137" s="10" t="s">
        <v>880</v>
      </c>
      <c r="H137" s="10" t="s">
        <v>58</v>
      </c>
      <c r="I137" s="4" t="s">
        <v>1106</v>
      </c>
      <c r="J137" s="12">
        <v>45783.46875</v>
      </c>
      <c r="K137" s="13">
        <f>EDATE(Tabela1[[#This Row],[Data da calibração/certificação ]],12)</f>
        <v>46148</v>
      </c>
      <c r="L137" s="14">
        <f ca="1">INT(Tabela1[[#This Row],[Próxima data de calibração/certificação]]-TODAY())</f>
        <v>218</v>
      </c>
      <c r="M137" s="16" t="s">
        <v>1107</v>
      </c>
      <c r="N137" s="16" t="s">
        <v>586</v>
      </c>
      <c r="O137" s="16" t="s">
        <v>1108</v>
      </c>
      <c r="P137" s="9" t="s">
        <v>10</v>
      </c>
      <c r="Q137" s="16" t="s">
        <v>539</v>
      </c>
      <c r="R137" s="16" t="s">
        <v>433</v>
      </c>
    </row>
    <row r="138" spans="1:18" x14ac:dyDescent="0.25">
      <c r="A138" s="10">
        <f>ROW(Tabela1[[#This Row],[Toolbox No / Container No]])-1</f>
        <v>137</v>
      </c>
      <c r="B138" s="10" t="s">
        <v>59</v>
      </c>
      <c r="C138" s="10" t="s">
        <v>1104</v>
      </c>
      <c r="D138" s="10" t="s">
        <v>99</v>
      </c>
      <c r="E138" s="10">
        <v>204188</v>
      </c>
      <c r="F138" s="10" t="s">
        <v>1105</v>
      </c>
      <c r="G138" s="10" t="s">
        <v>880</v>
      </c>
      <c r="H138" s="10" t="s">
        <v>60</v>
      </c>
      <c r="I138" s="4" t="s">
        <v>1109</v>
      </c>
      <c r="J138" s="12">
        <v>45783.770138888889</v>
      </c>
      <c r="K138" s="13">
        <f>EDATE(Tabela1[[#This Row],[Data da calibração/certificação ]],12)</f>
        <v>46148</v>
      </c>
      <c r="L138" s="14">
        <f ca="1">INT(Tabela1[[#This Row],[Próxima data de calibração/certificação]]-TODAY())</f>
        <v>218</v>
      </c>
      <c r="M138" s="16" t="s">
        <v>1110</v>
      </c>
      <c r="N138" s="16" t="s">
        <v>591</v>
      </c>
      <c r="O138" s="16" t="s">
        <v>1108</v>
      </c>
      <c r="P138" s="9" t="s">
        <v>10</v>
      </c>
      <c r="Q138" s="16" t="s">
        <v>539</v>
      </c>
      <c r="R138" s="16" t="s">
        <v>434</v>
      </c>
    </row>
    <row r="139" spans="1:18" x14ac:dyDescent="0.25">
      <c r="A139" s="10">
        <f>ROW(Tabela1[[#This Row],[Toolbox No / Container No]])-1</f>
        <v>138</v>
      </c>
      <c r="B139" s="10" t="s">
        <v>61</v>
      </c>
      <c r="C139" s="10" t="s">
        <v>1104</v>
      </c>
      <c r="D139" s="10" t="s">
        <v>99</v>
      </c>
      <c r="E139" s="10" t="s">
        <v>615</v>
      </c>
      <c r="F139" s="10" t="s">
        <v>1105</v>
      </c>
      <c r="G139" s="10" t="s">
        <v>880</v>
      </c>
      <c r="H139" s="10" t="s">
        <v>62</v>
      </c>
      <c r="I139" s="4" t="s">
        <v>1111</v>
      </c>
      <c r="J139" s="12">
        <v>45783.560416666667</v>
      </c>
      <c r="K139" s="13">
        <f>EDATE(Tabela1[[#This Row],[Data da calibração/certificação ]],12)</f>
        <v>46148</v>
      </c>
      <c r="L139" s="14">
        <f ca="1">INT(Tabela1[[#This Row],[Próxima data de calibração/certificação]]-TODAY())</f>
        <v>218</v>
      </c>
      <c r="M139" s="16" t="s">
        <v>1112</v>
      </c>
      <c r="N139" s="16" t="s">
        <v>586</v>
      </c>
      <c r="O139" s="16" t="s">
        <v>1108</v>
      </c>
      <c r="P139" s="9" t="s">
        <v>10</v>
      </c>
      <c r="Q139" s="16" t="s">
        <v>539</v>
      </c>
      <c r="R139" s="16" t="s">
        <v>435</v>
      </c>
    </row>
    <row r="140" spans="1:18" x14ac:dyDescent="0.25">
      <c r="A140" s="10">
        <f>ROW(Tabela1[[#This Row],[Toolbox No / Container No]])-1</f>
        <v>139</v>
      </c>
      <c r="B140" s="10" t="s">
        <v>63</v>
      </c>
      <c r="C140" s="10" t="s">
        <v>1104</v>
      </c>
      <c r="D140" s="10" t="s">
        <v>99</v>
      </c>
      <c r="E140" s="10">
        <v>20458</v>
      </c>
      <c r="F140" s="10" t="s">
        <v>1105</v>
      </c>
      <c r="G140" s="10" t="s">
        <v>880</v>
      </c>
      <c r="H140" s="10" t="s">
        <v>64</v>
      </c>
      <c r="I140" s="4" t="s">
        <v>1113</v>
      </c>
      <c r="J140" s="12">
        <v>45783.779166666667</v>
      </c>
      <c r="K140" s="13">
        <f>EDATE(Tabela1[[#This Row],[Data da calibração/certificação ]],12)</f>
        <v>46148</v>
      </c>
      <c r="L140" s="14">
        <f ca="1">INT(Tabela1[[#This Row],[Próxima data de calibração/certificação]]-TODAY())</f>
        <v>218</v>
      </c>
      <c r="M140" s="16" t="s">
        <v>1114</v>
      </c>
      <c r="N140" s="16" t="s">
        <v>586</v>
      </c>
      <c r="O140" s="16" t="s">
        <v>1108</v>
      </c>
      <c r="P140" s="9" t="s">
        <v>10</v>
      </c>
      <c r="Q140" s="16" t="s">
        <v>539</v>
      </c>
      <c r="R140" s="16" t="s">
        <v>436</v>
      </c>
    </row>
    <row r="141" spans="1:18" x14ac:dyDescent="0.25">
      <c r="A141" s="10">
        <f>ROW(Tabela1[[#This Row],[Toolbox No / Container No]])-1</f>
        <v>140</v>
      </c>
      <c r="B141" s="10" t="s">
        <v>65</v>
      </c>
      <c r="C141" s="10" t="s">
        <v>1104</v>
      </c>
      <c r="D141" s="10" t="s">
        <v>99</v>
      </c>
      <c r="E141" s="10">
        <v>24112</v>
      </c>
      <c r="F141" s="10" t="s">
        <v>1105</v>
      </c>
      <c r="G141" s="10" t="s">
        <v>880</v>
      </c>
      <c r="H141" s="10" t="s">
        <v>66</v>
      </c>
      <c r="I141" s="3" t="s">
        <v>1115</v>
      </c>
      <c r="J141" s="12">
        <v>45783.561805555553</v>
      </c>
      <c r="K141" s="13">
        <f>EDATE(Tabela1[[#This Row],[Data da calibração/certificação ]],12)</f>
        <v>46148</v>
      </c>
      <c r="L141" s="14">
        <f ca="1">INT(Tabela1[[#This Row],[Próxima data de calibração/certificação]]-TODAY())</f>
        <v>218</v>
      </c>
      <c r="M141" s="16" t="s">
        <v>1116</v>
      </c>
      <c r="N141" s="16" t="s">
        <v>591</v>
      </c>
      <c r="O141" s="16" t="s">
        <v>1108</v>
      </c>
      <c r="P141" s="9" t="s">
        <v>10</v>
      </c>
      <c r="Q141" s="16" t="s">
        <v>539</v>
      </c>
      <c r="R141" s="16" t="s">
        <v>437</v>
      </c>
    </row>
    <row r="142" spans="1:18" x14ac:dyDescent="0.25">
      <c r="A142" s="10">
        <f>ROW(Tabela1[[#This Row],[Toolbox No / Container No]])-1</f>
        <v>141</v>
      </c>
      <c r="B142" s="10" t="s">
        <v>67</v>
      </c>
      <c r="C142" s="10" t="s">
        <v>1104</v>
      </c>
      <c r="D142" s="10" t="s">
        <v>99</v>
      </c>
      <c r="E142" s="10">
        <v>200432</v>
      </c>
      <c r="F142" s="10" t="s">
        <v>1105</v>
      </c>
      <c r="G142" s="10" t="s">
        <v>880</v>
      </c>
      <c r="H142" s="10" t="s">
        <v>68</v>
      </c>
      <c r="I142" s="4" t="s">
        <v>1117</v>
      </c>
      <c r="J142" s="12">
        <v>45783.563194444447</v>
      </c>
      <c r="K142" s="13">
        <f>EDATE(Tabela1[[#This Row],[Data da calibração/certificação ]],12)</f>
        <v>46148</v>
      </c>
      <c r="L142" s="14">
        <f ca="1">INT(Tabela1[[#This Row],[Próxima data de calibração/certificação]]-TODAY())</f>
        <v>218</v>
      </c>
      <c r="M142" s="16" t="s">
        <v>1118</v>
      </c>
      <c r="N142" s="16" t="s">
        <v>586</v>
      </c>
      <c r="O142" s="16" t="s">
        <v>1108</v>
      </c>
      <c r="P142" s="9" t="s">
        <v>10</v>
      </c>
      <c r="Q142" s="16" t="s">
        <v>539</v>
      </c>
      <c r="R142" s="16" t="s">
        <v>438</v>
      </c>
    </row>
    <row r="143" spans="1:18" x14ac:dyDescent="0.25">
      <c r="A143" s="10">
        <f>ROW(Tabela1[[#This Row],[Toolbox No / Container No]])-1</f>
        <v>142</v>
      </c>
      <c r="B143" s="10" t="s">
        <v>69</v>
      </c>
      <c r="C143" s="10" t="s">
        <v>1104</v>
      </c>
      <c r="D143" s="10" t="s">
        <v>99</v>
      </c>
      <c r="E143" s="10" t="s">
        <v>615</v>
      </c>
      <c r="F143" s="10" t="s">
        <v>1105</v>
      </c>
      <c r="G143" s="10" t="s">
        <v>880</v>
      </c>
      <c r="H143" s="10" t="s">
        <v>70</v>
      </c>
      <c r="I143" s="4" t="s">
        <v>1119</v>
      </c>
      <c r="J143" s="12">
        <v>45783.5625</v>
      </c>
      <c r="K143" s="13">
        <f>EDATE(Tabela1[[#This Row],[Data da calibração/certificação ]],12)</f>
        <v>46148</v>
      </c>
      <c r="L143" s="14">
        <f ca="1">INT(Tabela1[[#This Row],[Próxima data de calibração/certificação]]-TODAY())</f>
        <v>218</v>
      </c>
      <c r="M143" s="16" t="s">
        <v>1112</v>
      </c>
      <c r="N143" s="16" t="s">
        <v>586</v>
      </c>
      <c r="O143" s="16" t="s">
        <v>1108</v>
      </c>
      <c r="P143" s="9" t="s">
        <v>10</v>
      </c>
      <c r="Q143" s="16" t="s">
        <v>539</v>
      </c>
      <c r="R143" s="16" t="s">
        <v>439</v>
      </c>
    </row>
    <row r="144" spans="1:18" x14ac:dyDescent="0.25">
      <c r="A144" s="10">
        <f>ROW(Tabela1[[#This Row],[Toolbox No / Container No]])-1</f>
        <v>143</v>
      </c>
      <c r="B144" s="10" t="s">
        <v>71</v>
      </c>
      <c r="C144" s="10" t="s">
        <v>1104</v>
      </c>
      <c r="D144" s="10" t="s">
        <v>879</v>
      </c>
      <c r="E144" s="10" t="s">
        <v>615</v>
      </c>
      <c r="F144" s="10" t="s">
        <v>1105</v>
      </c>
      <c r="G144" s="10" t="s">
        <v>880</v>
      </c>
      <c r="H144" s="10" t="s">
        <v>72</v>
      </c>
      <c r="I144" s="4" t="s">
        <v>1120</v>
      </c>
      <c r="J144" s="12">
        <v>45783.359027777777</v>
      </c>
      <c r="K144" s="13">
        <f>EDATE(Tabela1[[#This Row],[Data da calibração/certificação ]],12)</f>
        <v>46148</v>
      </c>
      <c r="L144" s="14">
        <f ca="1">INT(Tabela1[[#This Row],[Próxima data de calibração/certificação]]-TODAY())</f>
        <v>218</v>
      </c>
      <c r="M144" s="16" t="s">
        <v>1121</v>
      </c>
      <c r="N144" s="16" t="s">
        <v>586</v>
      </c>
      <c r="O144" s="16" t="s">
        <v>1108</v>
      </c>
      <c r="P144" s="9" t="s">
        <v>10</v>
      </c>
      <c r="Q144" s="16" t="s">
        <v>539</v>
      </c>
      <c r="R144" s="16" t="s">
        <v>440</v>
      </c>
    </row>
    <row r="145" spans="1:18" x14ac:dyDescent="0.25">
      <c r="A145" s="10">
        <f>ROW(Tabela1[[#This Row],[Toolbox No / Container No]])-1</f>
        <v>144</v>
      </c>
      <c r="B145" s="10" t="s">
        <v>87</v>
      </c>
      <c r="C145" s="10" t="s">
        <v>1104</v>
      </c>
      <c r="D145" s="10" t="s">
        <v>879</v>
      </c>
      <c r="E145" s="10" t="s">
        <v>615</v>
      </c>
      <c r="F145" s="10" t="s">
        <v>1122</v>
      </c>
      <c r="G145" s="10" t="s">
        <v>874</v>
      </c>
      <c r="H145" s="10" t="s">
        <v>88</v>
      </c>
      <c r="I145" s="4" t="s">
        <v>1123</v>
      </c>
      <c r="J145" s="12">
        <v>45842.570833333331</v>
      </c>
      <c r="K145" s="13">
        <f>EDATE(Tabela1[[#This Row],[Data da calibração/certificação ]],12)</f>
        <v>46207</v>
      </c>
      <c r="L145" s="14">
        <f ca="1">INT(Tabela1[[#This Row],[Próxima data de calibração/certificação]]-TODAY())</f>
        <v>277</v>
      </c>
      <c r="M145" s="16" t="s">
        <v>1124</v>
      </c>
      <c r="N145" s="16" t="s">
        <v>586</v>
      </c>
      <c r="O145" s="16" t="s">
        <v>1108</v>
      </c>
      <c r="P145" s="9" t="s">
        <v>10</v>
      </c>
      <c r="Q145" s="16" t="s">
        <v>539</v>
      </c>
      <c r="R145" s="16" t="s">
        <v>441</v>
      </c>
    </row>
    <row r="146" spans="1:18" x14ac:dyDescent="0.25">
      <c r="A146" s="10">
        <f>ROW(Tabela1[[#This Row],[Toolbox No / Container No]])-1</f>
        <v>145</v>
      </c>
      <c r="B146" s="15" t="s">
        <v>289</v>
      </c>
      <c r="C146" s="15" t="s">
        <v>1104</v>
      </c>
      <c r="D146" s="15" t="s">
        <v>879</v>
      </c>
      <c r="E146" s="15" t="s">
        <v>615</v>
      </c>
      <c r="F146" s="15" t="s">
        <v>1122</v>
      </c>
      <c r="G146" s="15" t="s">
        <v>874</v>
      </c>
      <c r="H146" s="15" t="s">
        <v>290</v>
      </c>
      <c r="I146" s="6" t="s">
        <v>1125</v>
      </c>
      <c r="J146" s="13">
        <v>45727.39166666667</v>
      </c>
      <c r="K146" s="13">
        <f>EDATE(Tabela1[[#This Row],[Data da calibração/certificação ]],12)</f>
        <v>46092</v>
      </c>
      <c r="L146" s="14">
        <f ca="1">INT(Tabela1[[#This Row],[Próxima data de calibração/certificação]]-TODAY())</f>
        <v>162</v>
      </c>
      <c r="M146" s="16" t="s">
        <v>1126</v>
      </c>
      <c r="N146" s="16" t="s">
        <v>586</v>
      </c>
      <c r="O146" s="16" t="s">
        <v>1127</v>
      </c>
      <c r="P146" s="9" t="s">
        <v>10</v>
      </c>
      <c r="Q146" s="16" t="s">
        <v>539</v>
      </c>
      <c r="R146" s="16" t="s">
        <v>442</v>
      </c>
    </row>
    <row r="147" spans="1:18" x14ac:dyDescent="0.25">
      <c r="A147" s="10">
        <f>ROW(Tabela1[[#This Row],[Toolbox No / Container No]])-1</f>
        <v>146</v>
      </c>
      <c r="B147" s="15" t="s">
        <v>296</v>
      </c>
      <c r="C147" s="15" t="s">
        <v>579</v>
      </c>
      <c r="D147" s="15" t="s">
        <v>594</v>
      </c>
      <c r="E147" s="15">
        <v>305</v>
      </c>
      <c r="F147" s="15" t="s">
        <v>582</v>
      </c>
      <c r="G147" s="15" t="s">
        <v>583</v>
      </c>
      <c r="H147" s="15" t="s">
        <v>297</v>
      </c>
      <c r="I147" s="6" t="s">
        <v>1103</v>
      </c>
      <c r="J147" s="13">
        <v>45727.568055555559</v>
      </c>
      <c r="K147" s="13">
        <f>EDATE(Tabela1[[#This Row],[Data da calibração/certificação ]],12)</f>
        <v>46092</v>
      </c>
      <c r="L147" s="14">
        <f ca="1">INT(Tabela1[[#This Row],[Próxima data de calibração/certificação]]-TODAY())</f>
        <v>162</v>
      </c>
      <c r="M147" s="16" t="s">
        <v>599</v>
      </c>
      <c r="N147" s="16" t="s">
        <v>586</v>
      </c>
      <c r="O147" s="16" t="s">
        <v>587</v>
      </c>
      <c r="P147" s="9" t="s">
        <v>10</v>
      </c>
      <c r="Q147" s="16" t="s">
        <v>539</v>
      </c>
      <c r="R147" s="16" t="s">
        <v>443</v>
      </c>
    </row>
    <row r="148" spans="1:18" x14ac:dyDescent="0.25">
      <c r="A148" s="10">
        <f>ROW(Tabela1[[#This Row],[Toolbox No / Container No]])-1</f>
        <v>147</v>
      </c>
      <c r="B148" s="15" t="s">
        <v>299</v>
      </c>
      <c r="C148" s="15" t="s">
        <v>1104</v>
      </c>
      <c r="D148" s="15" t="s">
        <v>879</v>
      </c>
      <c r="E148" s="15" t="s">
        <v>615</v>
      </c>
      <c r="F148" s="15" t="s">
        <v>1122</v>
      </c>
      <c r="G148" s="15" t="s">
        <v>874</v>
      </c>
      <c r="H148" s="15" t="s">
        <v>300</v>
      </c>
      <c r="I148" s="6" t="s">
        <v>1128</v>
      </c>
      <c r="J148" s="13">
        <v>45727.368750000001</v>
      </c>
      <c r="K148" s="13">
        <f>EDATE(Tabela1[[#This Row],[Data da calibração/certificação ]],12)</f>
        <v>46092</v>
      </c>
      <c r="L148" s="14">
        <f ca="1">INT(Tabela1[[#This Row],[Próxima data de calibração/certificação]]-TODAY())</f>
        <v>162</v>
      </c>
      <c r="M148" s="16" t="s">
        <v>1129</v>
      </c>
      <c r="N148" s="16" t="s">
        <v>586</v>
      </c>
      <c r="O148" s="16" t="s">
        <v>1108</v>
      </c>
      <c r="P148" s="9" t="s">
        <v>10</v>
      </c>
      <c r="Q148" s="16" t="s">
        <v>539</v>
      </c>
      <c r="R148" s="16" t="s">
        <v>444</v>
      </c>
    </row>
    <row r="149" spans="1:18" x14ac:dyDescent="0.25">
      <c r="A149" s="10">
        <f>ROW(Tabela1[[#This Row],[Toolbox No / Container No]])-1</f>
        <v>148</v>
      </c>
      <c r="B149" s="15" t="s">
        <v>307</v>
      </c>
      <c r="C149" s="15" t="s">
        <v>1104</v>
      </c>
      <c r="D149" s="15" t="s">
        <v>879</v>
      </c>
      <c r="E149" s="15" t="s">
        <v>615</v>
      </c>
      <c r="F149" s="15" t="s">
        <v>1130</v>
      </c>
      <c r="G149" s="15" t="s">
        <v>874</v>
      </c>
      <c r="H149" s="15" t="s">
        <v>308</v>
      </c>
      <c r="I149" s="6" t="s">
        <v>1131</v>
      </c>
      <c r="J149" s="13">
        <v>45727.373611111114</v>
      </c>
      <c r="K149" s="13">
        <f>EDATE(Tabela1[[#This Row],[Data da calibração/certificação ]],12)</f>
        <v>46092</v>
      </c>
      <c r="L149" s="14">
        <f ca="1">INT(Tabela1[[#This Row],[Próxima data de calibração/certificação]]-TODAY())</f>
        <v>162</v>
      </c>
      <c r="M149" s="16" t="s">
        <v>1132</v>
      </c>
      <c r="N149" s="16" t="s">
        <v>586</v>
      </c>
      <c r="O149" s="16" t="s">
        <v>1127</v>
      </c>
      <c r="P149" s="9" t="s">
        <v>10</v>
      </c>
      <c r="Q149" s="16" t="s">
        <v>539</v>
      </c>
      <c r="R149" s="16" t="s">
        <v>445</v>
      </c>
    </row>
    <row r="150" spans="1:18" x14ac:dyDescent="0.25">
      <c r="A150" s="10">
        <f>ROW(Tabela1[[#This Row],[Toolbox No / Container No]])-1</f>
        <v>149</v>
      </c>
      <c r="B150" s="15" t="s">
        <v>498</v>
      </c>
      <c r="C150" s="15" t="s">
        <v>1104</v>
      </c>
      <c r="D150" s="15" t="s">
        <v>879</v>
      </c>
      <c r="E150" s="15" t="s">
        <v>615</v>
      </c>
      <c r="F150" s="15" t="s">
        <v>1133</v>
      </c>
      <c r="G150" s="15" t="s">
        <v>874</v>
      </c>
      <c r="H150" s="15" t="s">
        <v>14</v>
      </c>
      <c r="I150" s="6" t="s">
        <v>1134</v>
      </c>
      <c r="J150" s="13">
        <v>45870</v>
      </c>
      <c r="K150" s="13">
        <f>EDATE(Tabela1[[#This Row],[Data da calibração/certificação ]],12)</f>
        <v>46235</v>
      </c>
      <c r="L150" s="14">
        <f ca="1">INT(Tabela1[[#This Row],[Próxima data de calibração/certificação]]-TODAY())</f>
        <v>305</v>
      </c>
      <c r="M150" s="16" t="s">
        <v>1135</v>
      </c>
      <c r="N150" s="16" t="s">
        <v>586</v>
      </c>
      <c r="O150" s="16" t="s">
        <v>1108</v>
      </c>
      <c r="P150" s="9" t="s">
        <v>10</v>
      </c>
      <c r="Q150" s="16" t="s">
        <v>539</v>
      </c>
      <c r="R150" s="16" t="s">
        <v>499</v>
      </c>
    </row>
    <row r="151" spans="1:18" x14ac:dyDescent="0.25">
      <c r="A151" s="10">
        <f>ROW(Tabela1[[#This Row],[Toolbox No / Container No]])-1</f>
        <v>150</v>
      </c>
      <c r="B151" s="15" t="s">
        <v>265</v>
      </c>
      <c r="C151" s="15" t="s">
        <v>1136</v>
      </c>
      <c r="D151" s="15" t="s">
        <v>1137</v>
      </c>
      <c r="E151" s="15" t="s">
        <v>1138</v>
      </c>
      <c r="F151" s="15" t="s">
        <v>1139</v>
      </c>
      <c r="G151" s="15" t="s">
        <v>1140</v>
      </c>
      <c r="H151" s="15" t="s">
        <v>266</v>
      </c>
      <c r="I151" s="5" t="s">
        <v>1141</v>
      </c>
      <c r="J151" s="13">
        <v>45684.40625</v>
      </c>
      <c r="K151" s="13">
        <f>EDATE(Tabela1[[#This Row],[Data da calibração/certificação ]],12)</f>
        <v>46049</v>
      </c>
      <c r="L151" s="14">
        <f ca="1">INT(Tabela1[[#This Row],[Próxima data de calibração/certificação]]-TODAY())</f>
        <v>119</v>
      </c>
      <c r="M151" s="16" t="s">
        <v>1142</v>
      </c>
      <c r="N151" s="16" t="s">
        <v>586</v>
      </c>
      <c r="O151" s="16" t="s">
        <v>1143</v>
      </c>
      <c r="P151" s="9" t="s">
        <v>10</v>
      </c>
      <c r="Q151" s="16" t="s">
        <v>540</v>
      </c>
      <c r="R151" s="16" t="s">
        <v>446</v>
      </c>
    </row>
    <row r="152" spans="1:18" x14ac:dyDescent="0.25">
      <c r="A152" s="10">
        <f>ROW(Tabela1[[#This Row],[Toolbox No / Container No]])-1</f>
        <v>151</v>
      </c>
      <c r="B152" s="15" t="s">
        <v>267</v>
      </c>
      <c r="C152" s="15" t="s">
        <v>1136</v>
      </c>
      <c r="D152" s="15" t="s">
        <v>268</v>
      </c>
      <c r="E152" s="15" t="s">
        <v>1144</v>
      </c>
      <c r="F152" s="15" t="s">
        <v>1145</v>
      </c>
      <c r="G152" s="15" t="s">
        <v>1140</v>
      </c>
      <c r="H152" s="15"/>
      <c r="I152" s="5" t="s">
        <v>1146</v>
      </c>
      <c r="J152" s="13">
        <v>45684.379861111112</v>
      </c>
      <c r="K152" s="13">
        <f>EDATE(Tabela1[[#This Row],[Data da calibração/certificação ]],12)</f>
        <v>46049</v>
      </c>
      <c r="L152" s="14">
        <f ca="1">INT(Tabela1[[#This Row],[Próxima data de calibração/certificação]]-TODAY())</f>
        <v>119</v>
      </c>
      <c r="M152" s="16" t="s">
        <v>1147</v>
      </c>
      <c r="N152" s="16" t="s">
        <v>586</v>
      </c>
      <c r="O152" s="16" t="s">
        <v>1143</v>
      </c>
      <c r="P152" s="9" t="s">
        <v>10</v>
      </c>
      <c r="Q152" s="16" t="s">
        <v>541</v>
      </c>
      <c r="R152" s="16" t="s">
        <v>447</v>
      </c>
    </row>
    <row r="153" spans="1:18" x14ac:dyDescent="0.25">
      <c r="A153" s="10">
        <f>ROW(Tabela1[[#This Row],[Toolbox No / Container No]])-1</f>
        <v>152</v>
      </c>
      <c r="B153" s="10" t="s">
        <v>181</v>
      </c>
      <c r="C153" s="10" t="s">
        <v>1148</v>
      </c>
      <c r="D153" s="10" t="s">
        <v>1149</v>
      </c>
      <c r="E153" s="10" t="s">
        <v>1150</v>
      </c>
      <c r="F153" s="10" t="s">
        <v>1151</v>
      </c>
      <c r="G153" s="10" t="s">
        <v>741</v>
      </c>
      <c r="H153" s="10" t="s">
        <v>182</v>
      </c>
      <c r="I153" s="4" t="s">
        <v>1152</v>
      </c>
      <c r="J153" s="12">
        <v>45665</v>
      </c>
      <c r="K153" s="13">
        <f>EDATE(Tabela1[[#This Row],[Data da calibração/certificação ]],12)</f>
        <v>46030</v>
      </c>
      <c r="L153" s="14">
        <f ca="1">INT(Tabela1[[#This Row],[Próxima data de calibração/certificação]]-TODAY())</f>
        <v>100</v>
      </c>
      <c r="M153" s="16" t="s">
        <v>1153</v>
      </c>
      <c r="N153" s="16" t="s">
        <v>586</v>
      </c>
      <c r="O153" s="16" t="s">
        <v>1108</v>
      </c>
      <c r="P153" s="9" t="s">
        <v>10</v>
      </c>
      <c r="Q153" s="16" t="s">
        <v>542</v>
      </c>
      <c r="R153" s="16" t="s">
        <v>448</v>
      </c>
    </row>
    <row r="154" spans="1:18" x14ac:dyDescent="0.25">
      <c r="A154" s="10">
        <f>ROW(Tabela1[[#This Row],[Toolbox No / Container No]])-1</f>
        <v>153</v>
      </c>
      <c r="B154" s="15" t="s">
        <v>269</v>
      </c>
      <c r="C154" s="15" t="s">
        <v>1148</v>
      </c>
      <c r="D154" s="15" t="s">
        <v>1154</v>
      </c>
      <c r="E154" s="15" t="s">
        <v>615</v>
      </c>
      <c r="F154" s="15" t="s">
        <v>1151</v>
      </c>
      <c r="G154" s="15" t="s">
        <v>741</v>
      </c>
      <c r="H154" s="15" t="s">
        <v>270</v>
      </c>
      <c r="I154" s="5" t="s">
        <v>1155</v>
      </c>
      <c r="J154" s="13">
        <v>45663.612500000003</v>
      </c>
      <c r="K154" s="13">
        <f>EDATE(Tabela1[[#This Row],[Data da calibração/certificação ]],12)</f>
        <v>46028</v>
      </c>
      <c r="L154" s="14">
        <f ca="1">INT(Tabela1[[#This Row],[Próxima data de calibração/certificação]]-TODAY())</f>
        <v>98</v>
      </c>
      <c r="M154" s="16" t="s">
        <v>1156</v>
      </c>
      <c r="N154" s="16" t="s">
        <v>586</v>
      </c>
      <c r="O154" s="16" t="s">
        <v>1108</v>
      </c>
      <c r="P154" s="9" t="s">
        <v>10</v>
      </c>
      <c r="Q154" s="16" t="s">
        <v>542</v>
      </c>
      <c r="R154" s="16" t="s">
        <v>449</v>
      </c>
    </row>
    <row r="155" spans="1:18" x14ac:dyDescent="0.25">
      <c r="A155" s="10">
        <f>ROW(Tabela1[[#This Row],[Toolbox No / Container No]])-1</f>
        <v>154</v>
      </c>
      <c r="B155" s="10" t="s">
        <v>20</v>
      </c>
      <c r="C155" s="10" t="s">
        <v>1157</v>
      </c>
      <c r="D155" s="10" t="s">
        <v>1158</v>
      </c>
      <c r="E155" s="10" t="s">
        <v>1159</v>
      </c>
      <c r="F155" s="10" t="s">
        <v>1160</v>
      </c>
      <c r="G155" s="10" t="s">
        <v>741</v>
      </c>
      <c r="H155" s="10"/>
      <c r="I155" s="4" t="s">
        <v>1161</v>
      </c>
      <c r="J155" s="12">
        <v>45860.356249999997</v>
      </c>
      <c r="K155" s="13">
        <f>EDATE(Tabela1[[#This Row],[Data da calibração/certificação ]],12)</f>
        <v>46225</v>
      </c>
      <c r="L155" s="14">
        <f ca="1">INT(Tabela1[[#This Row],[Próxima data de calibração/certificação]]-TODAY())</f>
        <v>295</v>
      </c>
      <c r="M155" s="16" t="s">
        <v>1162</v>
      </c>
      <c r="N155" s="16" t="s">
        <v>586</v>
      </c>
      <c r="O155" s="16" t="s">
        <v>1163</v>
      </c>
      <c r="P155" s="9" t="s">
        <v>10</v>
      </c>
      <c r="Q155" s="16" t="s">
        <v>543</v>
      </c>
      <c r="R155" s="16" t="s">
        <v>450</v>
      </c>
    </row>
    <row r="156" spans="1:18" x14ac:dyDescent="0.25">
      <c r="A156" s="10">
        <f>ROW(Tabela1[[#This Row],[Toolbox No / Container No]])-1</f>
        <v>155</v>
      </c>
      <c r="B156" s="10" t="s">
        <v>21</v>
      </c>
      <c r="C156" s="10" t="s">
        <v>1157</v>
      </c>
      <c r="D156" s="10" t="s">
        <v>1158</v>
      </c>
      <c r="E156" s="10" t="s">
        <v>1159</v>
      </c>
      <c r="F156" s="10" t="s">
        <v>1160</v>
      </c>
      <c r="G156" s="10" t="s">
        <v>741</v>
      </c>
      <c r="H156" s="10"/>
      <c r="I156" s="4" t="s">
        <v>1164</v>
      </c>
      <c r="J156" s="12">
        <v>45860.354861111111</v>
      </c>
      <c r="K156" s="13">
        <f>EDATE(Tabela1[[#This Row],[Data da calibração/certificação ]],12)</f>
        <v>46225</v>
      </c>
      <c r="L156" s="14">
        <f ca="1">INT(Tabela1[[#This Row],[Próxima data de calibração/certificação]]-TODAY())</f>
        <v>295</v>
      </c>
      <c r="M156" s="16" t="s">
        <v>1165</v>
      </c>
      <c r="N156" s="16" t="s">
        <v>586</v>
      </c>
      <c r="O156" s="16" t="s">
        <v>1163</v>
      </c>
      <c r="P156" s="9" t="s">
        <v>10</v>
      </c>
      <c r="Q156" s="16" t="s">
        <v>543</v>
      </c>
      <c r="R156" s="16" t="s">
        <v>451</v>
      </c>
    </row>
    <row r="157" spans="1:18" x14ac:dyDescent="0.25">
      <c r="A157" s="10">
        <f>ROW(Tabela1[[#This Row],[Toolbox No / Container No]])-1</f>
        <v>156</v>
      </c>
      <c r="B157" s="15" t="s">
        <v>149</v>
      </c>
      <c r="C157" s="15" t="s">
        <v>1166</v>
      </c>
      <c r="D157" s="15" t="s">
        <v>1167</v>
      </c>
      <c r="E157" s="15" t="s">
        <v>150</v>
      </c>
      <c r="F157" s="15" t="s">
        <v>1168</v>
      </c>
      <c r="G157" s="15" t="s">
        <v>1169</v>
      </c>
      <c r="H157" s="15" t="s">
        <v>150</v>
      </c>
      <c r="I157" s="3">
        <v>1063</v>
      </c>
      <c r="J157" s="13">
        <v>45757.559027777781</v>
      </c>
      <c r="K157" s="13">
        <f>EDATE(Tabela1[[#This Row],[Data da calibração/certificação ]],12)</f>
        <v>46122</v>
      </c>
      <c r="L157" s="14">
        <f ca="1">INT(Tabela1[[#This Row],[Próxima data de calibração/certificação]]-TODAY())</f>
        <v>192</v>
      </c>
      <c r="M157" s="16" t="s">
        <v>1170</v>
      </c>
      <c r="N157" s="16" t="s">
        <v>586</v>
      </c>
      <c r="O157" s="16" t="s">
        <v>1171</v>
      </c>
      <c r="P157" s="9" t="s">
        <v>10</v>
      </c>
      <c r="Q157" s="16" t="s">
        <v>543</v>
      </c>
      <c r="R157" s="16" t="s">
        <v>452</v>
      </c>
    </row>
    <row r="158" spans="1:18" x14ac:dyDescent="0.25">
      <c r="A158" s="10">
        <f>ROW(Tabela1[[#This Row],[Toolbox No / Container No]])-1</f>
        <v>157</v>
      </c>
      <c r="B158" s="15" t="s">
        <v>151</v>
      </c>
      <c r="C158" s="15" t="s">
        <v>1166</v>
      </c>
      <c r="D158" s="15" t="s">
        <v>1167</v>
      </c>
      <c r="E158" s="15" t="s">
        <v>152</v>
      </c>
      <c r="F158" s="15" t="s">
        <v>1172</v>
      </c>
      <c r="G158" s="15" t="s">
        <v>1173</v>
      </c>
      <c r="H158" s="15" t="s">
        <v>152</v>
      </c>
      <c r="I158" s="3">
        <v>1062</v>
      </c>
      <c r="J158" s="13">
        <v>45757</v>
      </c>
      <c r="K158" s="13">
        <f>EDATE(Tabela1[[#This Row],[Data da calibração/certificação ]],12)</f>
        <v>46122</v>
      </c>
      <c r="L158" s="14">
        <f ca="1">INT(Tabela1[[#This Row],[Próxima data de calibração/certificação]]-TODAY())</f>
        <v>192</v>
      </c>
      <c r="M158" s="16" t="s">
        <v>1174</v>
      </c>
      <c r="N158" s="16" t="s">
        <v>586</v>
      </c>
      <c r="O158" s="16" t="s">
        <v>1171</v>
      </c>
      <c r="P158" s="9" t="s">
        <v>10</v>
      </c>
      <c r="Q158" s="16" t="s">
        <v>543</v>
      </c>
      <c r="R158" s="16" t="s">
        <v>453</v>
      </c>
    </row>
    <row r="159" spans="1:18" x14ac:dyDescent="0.25">
      <c r="A159" s="10">
        <f>ROW(Tabela1[[#This Row],[Toolbox No / Container No]])-1</f>
        <v>158</v>
      </c>
      <c r="B159" s="10" t="s">
        <v>209</v>
      </c>
      <c r="C159" s="10" t="s">
        <v>1157</v>
      </c>
      <c r="D159" s="10" t="s">
        <v>580</v>
      </c>
      <c r="E159" s="10" t="s">
        <v>615</v>
      </c>
      <c r="F159" s="10" t="s">
        <v>1160</v>
      </c>
      <c r="G159" s="10" t="s">
        <v>741</v>
      </c>
      <c r="H159" s="10"/>
      <c r="I159" s="4" t="s">
        <v>1175</v>
      </c>
      <c r="J159" s="12">
        <v>45741.647916666669</v>
      </c>
      <c r="K159" s="13">
        <f>EDATE(Tabela1[[#This Row],[Data da calibração/certificação ]],12)</f>
        <v>46106</v>
      </c>
      <c r="L159" s="14">
        <f ca="1">INT(Tabela1[[#This Row],[Próxima data de calibração/certificação]]-TODAY())</f>
        <v>176</v>
      </c>
      <c r="M159" s="16" t="s">
        <v>1176</v>
      </c>
      <c r="N159" s="16" t="s">
        <v>586</v>
      </c>
      <c r="O159" s="16" t="s">
        <v>1163</v>
      </c>
      <c r="P159" s="9" t="s">
        <v>10</v>
      </c>
      <c r="Q159" s="16" t="s">
        <v>544</v>
      </c>
      <c r="R159" s="16" t="s">
        <v>454</v>
      </c>
    </row>
    <row r="160" spans="1:18" x14ac:dyDescent="0.25">
      <c r="A160" s="10">
        <f>ROW(Tabela1[[#This Row],[Toolbox No / Container No]])-1</f>
        <v>159</v>
      </c>
      <c r="B160" s="15" t="s">
        <v>271</v>
      </c>
      <c r="C160" s="15" t="s">
        <v>1157</v>
      </c>
      <c r="D160" s="15" t="s">
        <v>1154</v>
      </c>
      <c r="E160" s="15" t="s">
        <v>615</v>
      </c>
      <c r="F160" s="15" t="s">
        <v>1160</v>
      </c>
      <c r="G160" s="15" t="s">
        <v>741</v>
      </c>
      <c r="H160" s="15"/>
      <c r="I160" s="5" t="s">
        <v>1177</v>
      </c>
      <c r="J160" s="13">
        <v>45674.640277777777</v>
      </c>
      <c r="K160" s="13">
        <f>EDATE(Tabela1[[#This Row],[Data da calibração/certificação ]],12)</f>
        <v>46039</v>
      </c>
      <c r="L160" s="14">
        <f ca="1">INT(Tabela1[[#This Row],[Próxima data de calibração/certificação]]-TODAY())</f>
        <v>109</v>
      </c>
      <c r="M160" s="16" t="s">
        <v>1178</v>
      </c>
      <c r="N160" s="16" t="s">
        <v>586</v>
      </c>
      <c r="O160" s="16" t="s">
        <v>1179</v>
      </c>
      <c r="P160" s="9" t="s">
        <v>10</v>
      </c>
      <c r="Q160" s="16" t="s">
        <v>545</v>
      </c>
      <c r="R160" s="16" t="s">
        <v>455</v>
      </c>
    </row>
    <row r="161" spans="1:18" x14ac:dyDescent="0.25">
      <c r="A161" s="10">
        <f>ROW(Tabela1[[#This Row],[Toolbox No / Container No]])-1</f>
        <v>160</v>
      </c>
      <c r="B161" s="10" t="s">
        <v>55</v>
      </c>
      <c r="C161" s="10" t="s">
        <v>1157</v>
      </c>
      <c r="D161" s="10" t="s">
        <v>1154</v>
      </c>
      <c r="E161" s="10" t="s">
        <v>615</v>
      </c>
      <c r="F161" s="10" t="s">
        <v>1160</v>
      </c>
      <c r="G161" s="10" t="s">
        <v>741</v>
      </c>
      <c r="H161" s="10"/>
      <c r="I161" s="4" t="s">
        <v>1177</v>
      </c>
      <c r="J161" s="12">
        <v>45777</v>
      </c>
      <c r="K161" s="13">
        <f>EDATE(Tabela1[[#This Row],[Data da calibração/certificação ]],12)</f>
        <v>46142</v>
      </c>
      <c r="L161" s="14">
        <f ca="1">INT(Tabela1[[#This Row],[Próxima data de calibração/certificação]]-TODAY())</f>
        <v>212</v>
      </c>
      <c r="M161" s="16" t="s">
        <v>1178</v>
      </c>
      <c r="N161" s="16" t="s">
        <v>586</v>
      </c>
      <c r="O161" s="16" t="s">
        <v>1179</v>
      </c>
      <c r="P161" s="9" t="s">
        <v>10</v>
      </c>
      <c r="Q161" s="16" t="s">
        <v>546</v>
      </c>
      <c r="R161" s="16" t="s">
        <v>456</v>
      </c>
    </row>
    <row r="162" spans="1:18" x14ac:dyDescent="0.25">
      <c r="A162" s="10">
        <f>ROW(Tabela1[[#This Row],[Toolbox No / Container No]])-1</f>
        <v>161</v>
      </c>
      <c r="B162" s="10" t="s">
        <v>206</v>
      </c>
      <c r="C162" s="10" t="s">
        <v>1157</v>
      </c>
      <c r="D162" s="10" t="s">
        <v>56</v>
      </c>
      <c r="E162" s="10" t="s">
        <v>615</v>
      </c>
      <c r="F162" s="10" t="s">
        <v>1160</v>
      </c>
      <c r="G162" s="10" t="s">
        <v>741</v>
      </c>
      <c r="H162" s="10" t="s">
        <v>207</v>
      </c>
      <c r="I162" s="4" t="s">
        <v>1180</v>
      </c>
      <c r="J162" s="12">
        <v>45777</v>
      </c>
      <c r="K162" s="13">
        <f>EDATE(Tabela1[[#This Row],[Data da calibração/certificação ]],12)</f>
        <v>46142</v>
      </c>
      <c r="L162" s="14">
        <f ca="1">INT(Tabela1[[#This Row],[Próxima data de calibração/certificação]]-TODAY())</f>
        <v>212</v>
      </c>
      <c r="M162" s="16" t="s">
        <v>1181</v>
      </c>
      <c r="N162" s="16" t="s">
        <v>586</v>
      </c>
      <c r="O162" s="16" t="s">
        <v>1163</v>
      </c>
      <c r="P162" s="9" t="s">
        <v>10</v>
      </c>
      <c r="Q162" s="16" t="s">
        <v>546</v>
      </c>
      <c r="R162" s="16" t="s">
        <v>457</v>
      </c>
    </row>
    <row r="163" spans="1:18" x14ac:dyDescent="0.25">
      <c r="A163" s="10">
        <f>ROW(Tabela1[[#This Row],[Toolbox No / Container No]])-1</f>
        <v>162</v>
      </c>
      <c r="B163" s="10" t="s">
        <v>24</v>
      </c>
      <c r="C163" s="10" t="s">
        <v>1157</v>
      </c>
      <c r="D163" s="10" t="s">
        <v>580</v>
      </c>
      <c r="E163" s="10" t="s">
        <v>1182</v>
      </c>
      <c r="F163" s="10" t="s">
        <v>1183</v>
      </c>
      <c r="G163" s="10" t="s">
        <v>741</v>
      </c>
      <c r="H163" s="10" t="s">
        <v>25</v>
      </c>
      <c r="I163" s="4" t="s">
        <v>1184</v>
      </c>
      <c r="J163" s="12">
        <v>45842.580555555556</v>
      </c>
      <c r="K163" s="13">
        <f>EDATE(Tabela1[[#This Row],[Data da calibração/certificação ]],12)</f>
        <v>46207</v>
      </c>
      <c r="L163" s="14">
        <f ca="1">INT(Tabela1[[#This Row],[Próxima data de calibração/certificação]]-TODAY())</f>
        <v>277</v>
      </c>
      <c r="M163" s="16" t="s">
        <v>1185</v>
      </c>
      <c r="N163" s="16" t="s">
        <v>586</v>
      </c>
      <c r="O163" s="16" t="s">
        <v>1163</v>
      </c>
      <c r="P163" s="9" t="s">
        <v>10</v>
      </c>
      <c r="Q163" s="16" t="s">
        <v>544</v>
      </c>
      <c r="R163" s="16" t="s">
        <v>458</v>
      </c>
    </row>
    <row r="164" spans="1:18" x14ac:dyDescent="0.25">
      <c r="A164" s="10">
        <f>ROW(Tabela1[[#This Row],[Toolbox No / Container No]])-1</f>
        <v>163</v>
      </c>
      <c r="B164" s="10" t="s">
        <v>26</v>
      </c>
      <c r="C164" s="10" t="s">
        <v>1157</v>
      </c>
      <c r="D164" s="10" t="s">
        <v>580</v>
      </c>
      <c r="E164" s="10" t="s">
        <v>1182</v>
      </c>
      <c r="F164" s="10" t="s">
        <v>1183</v>
      </c>
      <c r="G164" s="10" t="s">
        <v>741</v>
      </c>
      <c r="H164" s="10" t="s">
        <v>27</v>
      </c>
      <c r="I164" s="4" t="s">
        <v>1186</v>
      </c>
      <c r="J164" s="12">
        <v>45842.579861111109</v>
      </c>
      <c r="K164" s="13">
        <f>EDATE(Tabela1[[#This Row],[Data da calibração/certificação ]],12)</f>
        <v>46207</v>
      </c>
      <c r="L164" s="14">
        <f ca="1">INT(Tabela1[[#This Row],[Próxima data de calibração/certificação]]-TODAY())</f>
        <v>277</v>
      </c>
      <c r="M164" s="16" t="s">
        <v>1185</v>
      </c>
      <c r="N164" s="16" t="s">
        <v>586</v>
      </c>
      <c r="O164" s="16" t="s">
        <v>1163</v>
      </c>
      <c r="P164" s="9" t="s">
        <v>10</v>
      </c>
      <c r="Q164" s="16" t="s">
        <v>544</v>
      </c>
      <c r="R164" s="16" t="s">
        <v>459</v>
      </c>
    </row>
    <row r="165" spans="1:18" x14ac:dyDescent="0.25">
      <c r="A165" s="10">
        <f>ROW(Tabela1[[#This Row],[Toolbox No / Container No]])-1</f>
        <v>164</v>
      </c>
      <c r="B165" s="15" t="s">
        <v>264</v>
      </c>
      <c r="C165" s="15" t="s">
        <v>1187</v>
      </c>
      <c r="D165" s="15" t="s">
        <v>1188</v>
      </c>
      <c r="E165" s="15" t="s">
        <v>615</v>
      </c>
      <c r="F165" s="15" t="s">
        <v>1189</v>
      </c>
      <c r="G165" s="15" t="s">
        <v>741</v>
      </c>
      <c r="H165" s="15"/>
      <c r="I165" s="3" t="s">
        <v>1190</v>
      </c>
      <c r="J165" s="13">
        <v>45632</v>
      </c>
      <c r="K165" s="13">
        <f>EDATE(Tabela1[[#This Row],[Data da calibração/certificação ]],12)</f>
        <v>45997</v>
      </c>
      <c r="L165" s="14">
        <f ca="1">INT(Tabela1[[#This Row],[Próxima data de calibração/certificação]]-TODAY())</f>
        <v>67</v>
      </c>
      <c r="M165" s="16" t="s">
        <v>1191</v>
      </c>
      <c r="N165" s="16" t="s">
        <v>586</v>
      </c>
      <c r="O165" s="16" t="s">
        <v>1192</v>
      </c>
      <c r="P165" s="9" t="s">
        <v>10</v>
      </c>
      <c r="Q165" s="16" t="s">
        <v>547</v>
      </c>
      <c r="R165" s="16" t="s">
        <v>460</v>
      </c>
    </row>
    <row r="166" spans="1:18" x14ac:dyDescent="0.25">
      <c r="A166" s="10">
        <f>ROW(Tabela1[[#This Row],[Toolbox No / Container No]])-1</f>
        <v>165</v>
      </c>
      <c r="B166" s="10" t="s">
        <v>28</v>
      </c>
      <c r="C166" s="10" t="s">
        <v>1096</v>
      </c>
      <c r="D166" s="10" t="s">
        <v>580</v>
      </c>
      <c r="E166" s="10" t="s">
        <v>29</v>
      </c>
      <c r="F166" s="10" t="s">
        <v>1193</v>
      </c>
      <c r="G166" s="10" t="s">
        <v>741</v>
      </c>
      <c r="H166" s="10" t="s">
        <v>30</v>
      </c>
      <c r="I166" s="4" t="s">
        <v>1194</v>
      </c>
      <c r="J166" s="12">
        <v>45842.427083333336</v>
      </c>
      <c r="K166" s="13">
        <f>EDATE(Tabela1[[#This Row],[Data da calibração/certificação ]],12)</f>
        <v>46207</v>
      </c>
      <c r="L166" s="14">
        <f ca="1">INT(Tabela1[[#This Row],[Próxima data de calibração/certificação]]-TODAY())</f>
        <v>277</v>
      </c>
      <c r="M166" s="16" t="s">
        <v>1195</v>
      </c>
      <c r="N166" s="16" t="s">
        <v>586</v>
      </c>
      <c r="O166" s="16" t="s">
        <v>1196</v>
      </c>
      <c r="P166" s="9" t="s">
        <v>10</v>
      </c>
      <c r="Q166" s="16" t="s">
        <v>548</v>
      </c>
      <c r="R166" s="16" t="s">
        <v>461</v>
      </c>
    </row>
    <row r="167" spans="1:18" x14ac:dyDescent="0.25">
      <c r="A167" s="10">
        <f>ROW(Tabela1[[#This Row],[Toolbox No / Container No]])-1</f>
        <v>166</v>
      </c>
      <c r="B167" s="10" t="s">
        <v>31</v>
      </c>
      <c r="C167" s="10" t="s">
        <v>1096</v>
      </c>
      <c r="D167" s="10" t="s">
        <v>580</v>
      </c>
      <c r="E167" s="10" t="s">
        <v>29</v>
      </c>
      <c r="F167" s="10" t="s">
        <v>1193</v>
      </c>
      <c r="G167" s="10" t="s">
        <v>741</v>
      </c>
      <c r="H167" s="10" t="s">
        <v>32</v>
      </c>
      <c r="I167" s="4" t="s">
        <v>1197</v>
      </c>
      <c r="J167" s="12">
        <v>45842.57708333333</v>
      </c>
      <c r="K167" s="13">
        <f>EDATE(Tabela1[[#This Row],[Data da calibração/certificação ]],12)</f>
        <v>46207</v>
      </c>
      <c r="L167" s="14">
        <f ca="1">INT(Tabela1[[#This Row],[Próxima data de calibração/certificação]]-TODAY())</f>
        <v>277</v>
      </c>
      <c r="M167" s="16" t="s">
        <v>1198</v>
      </c>
      <c r="N167" s="16" t="s">
        <v>586</v>
      </c>
      <c r="O167" s="16" t="s">
        <v>1196</v>
      </c>
      <c r="P167" s="9" t="s">
        <v>10</v>
      </c>
      <c r="Q167" s="16" t="s">
        <v>548</v>
      </c>
      <c r="R167" s="16" t="s">
        <v>462</v>
      </c>
    </row>
    <row r="168" spans="1:18" x14ac:dyDescent="0.25">
      <c r="A168" s="10">
        <f>ROW(Tabela1[[#This Row],[Toolbox No / Container No]])-1</f>
        <v>167</v>
      </c>
      <c r="B168" s="10" t="s">
        <v>213</v>
      </c>
      <c r="C168" s="10" t="s">
        <v>1199</v>
      </c>
      <c r="D168" s="10" t="s">
        <v>580</v>
      </c>
      <c r="E168" s="10" t="s">
        <v>1200</v>
      </c>
      <c r="F168" s="10" t="s">
        <v>640</v>
      </c>
      <c r="G168" s="10" t="s">
        <v>583</v>
      </c>
      <c r="H168" s="10" t="s">
        <v>214</v>
      </c>
      <c r="I168" s="4" t="s">
        <v>1201</v>
      </c>
      <c r="J168" s="12">
        <v>45706.657638888886</v>
      </c>
      <c r="K168" s="13">
        <f>EDATE(Tabela1[[#This Row],[Data da calibração/certificação ]],12)</f>
        <v>46071</v>
      </c>
      <c r="L168" s="14">
        <f ca="1">INT(Tabela1[[#This Row],[Próxima data de calibração/certificação]]-TODAY())</f>
        <v>141</v>
      </c>
      <c r="M168" s="16" t="s">
        <v>1202</v>
      </c>
      <c r="N168" s="16" t="s">
        <v>586</v>
      </c>
      <c r="O168" s="16" t="s">
        <v>1203</v>
      </c>
      <c r="P168" s="9" t="s">
        <v>10</v>
      </c>
      <c r="Q168" s="16" t="s">
        <v>549</v>
      </c>
      <c r="R168" s="16" t="s">
        <v>463</v>
      </c>
    </row>
    <row r="169" spans="1:18" x14ac:dyDescent="0.25">
      <c r="A169" s="10">
        <f>ROW(Tabela1[[#This Row],[Toolbox No / Container No]])-1</f>
        <v>168</v>
      </c>
      <c r="B169" s="10" t="s">
        <v>215</v>
      </c>
      <c r="C169" s="10" t="s">
        <v>1199</v>
      </c>
      <c r="D169" s="10" t="s">
        <v>1204</v>
      </c>
      <c r="E169" s="10" t="s">
        <v>1205</v>
      </c>
      <c r="F169" s="10" t="s">
        <v>1206</v>
      </c>
      <c r="G169" s="10" t="s">
        <v>583</v>
      </c>
      <c r="H169" s="10" t="s">
        <v>216</v>
      </c>
      <c r="I169" s="4" t="s">
        <v>1207</v>
      </c>
      <c r="J169" s="12">
        <v>45722.338888888888</v>
      </c>
      <c r="K169" s="13">
        <f>EDATE(Tabela1[[#This Row],[Data da calibração/certificação ]],12)</f>
        <v>46087</v>
      </c>
      <c r="L169" s="14">
        <f ca="1">INT(Tabela1[[#This Row],[Próxima data de calibração/certificação]]-TODAY())</f>
        <v>157</v>
      </c>
      <c r="M169" s="16" t="s">
        <v>1208</v>
      </c>
      <c r="N169" s="16" t="s">
        <v>586</v>
      </c>
      <c r="O169" s="16" t="s">
        <v>1209</v>
      </c>
      <c r="P169" s="9" t="s">
        <v>10</v>
      </c>
      <c r="Q169" s="16" t="s">
        <v>550</v>
      </c>
      <c r="R169" s="16" t="s">
        <v>464</v>
      </c>
    </row>
    <row r="170" spans="1:18" x14ac:dyDescent="0.25">
      <c r="A170" s="10">
        <f>ROW(Tabela1[[#This Row],[Toolbox No / Container No]])-1</f>
        <v>169</v>
      </c>
      <c r="B170" s="10" t="s">
        <v>22</v>
      </c>
      <c r="C170" s="10" t="s">
        <v>1210</v>
      </c>
      <c r="D170" s="10" t="s">
        <v>1211</v>
      </c>
      <c r="E170" s="10" t="s">
        <v>615</v>
      </c>
      <c r="F170" s="10" t="s">
        <v>1212</v>
      </c>
      <c r="G170" s="10" t="s">
        <v>1213</v>
      </c>
      <c r="H170" s="10" t="s">
        <v>23</v>
      </c>
      <c r="I170" s="4" t="s">
        <v>1214</v>
      </c>
      <c r="J170" s="12">
        <v>45839.462500000001</v>
      </c>
      <c r="K170" s="13">
        <f>EDATE(Tabela1[[#This Row],[Data da calibração/certificação ]],12)</f>
        <v>46204</v>
      </c>
      <c r="L170" s="14">
        <f ca="1">INT(Tabela1[[#This Row],[Próxima data de calibração/certificação]]-TODAY())</f>
        <v>274</v>
      </c>
      <c r="M170" s="16" t="s">
        <v>1215</v>
      </c>
      <c r="N170" s="16" t="s">
        <v>586</v>
      </c>
      <c r="O170" s="16" t="s">
        <v>1216</v>
      </c>
      <c r="P170" s="9" t="s">
        <v>10</v>
      </c>
      <c r="Q170" s="16" t="s">
        <v>551</v>
      </c>
      <c r="R170" s="16" t="s">
        <v>465</v>
      </c>
    </row>
    <row r="171" spans="1:18" x14ac:dyDescent="0.25">
      <c r="A171" s="10">
        <f>ROW(Tabela1[[#This Row],[Toolbox No / Container No]])-1</f>
        <v>170</v>
      </c>
      <c r="B171" s="10" t="s">
        <v>92</v>
      </c>
      <c r="C171" s="10" t="s">
        <v>1210</v>
      </c>
      <c r="D171" s="10" t="s">
        <v>1211</v>
      </c>
      <c r="E171" s="10" t="s">
        <v>615</v>
      </c>
      <c r="F171" s="10" t="s">
        <v>1212</v>
      </c>
      <c r="G171" s="10" t="s">
        <v>1213</v>
      </c>
      <c r="H171" s="10" t="s">
        <v>94</v>
      </c>
      <c r="I171" s="4" t="s">
        <v>1217</v>
      </c>
      <c r="J171" s="12">
        <v>45839.463194444441</v>
      </c>
      <c r="K171" s="13">
        <f>EDATE(Tabela1[[#This Row],[Data da calibração/certificação ]],12)</f>
        <v>46204</v>
      </c>
      <c r="L171" s="14">
        <f ca="1">INT(Tabela1[[#This Row],[Próxima data de calibração/certificação]]-TODAY())</f>
        <v>274</v>
      </c>
      <c r="M171" s="16" t="s">
        <v>1218</v>
      </c>
      <c r="N171" s="16" t="s">
        <v>586</v>
      </c>
      <c r="O171" s="16" t="s">
        <v>1216</v>
      </c>
      <c r="P171" s="9" t="s">
        <v>10</v>
      </c>
      <c r="Q171" s="16" t="s">
        <v>551</v>
      </c>
      <c r="R171" s="16" t="s">
        <v>466</v>
      </c>
    </row>
    <row r="172" spans="1:18" x14ac:dyDescent="0.25">
      <c r="A172" s="10">
        <f>ROW(Tabela1[[#This Row],[Toolbox No / Container No]])-1</f>
        <v>171</v>
      </c>
      <c r="B172" s="15" t="s">
        <v>292</v>
      </c>
      <c r="C172" s="15" t="s">
        <v>1219</v>
      </c>
      <c r="D172" s="15" t="s">
        <v>93</v>
      </c>
      <c r="E172" s="15" t="s">
        <v>1220</v>
      </c>
      <c r="F172" s="15" t="s">
        <v>1221</v>
      </c>
      <c r="G172" s="15" t="s">
        <v>741</v>
      </c>
      <c r="H172" s="15" t="s">
        <v>293</v>
      </c>
      <c r="I172" s="6" t="s">
        <v>1222</v>
      </c>
      <c r="J172" s="13">
        <v>45890</v>
      </c>
      <c r="K172" s="13">
        <f>EDATE(Tabela1[[#This Row],[Data da calibração/certificação ]],12)</f>
        <v>46255</v>
      </c>
      <c r="L172" s="14">
        <f ca="1">INT(Tabela1[[#This Row],[Próxima data de calibração/certificação]]-TODAY())</f>
        <v>325</v>
      </c>
      <c r="M172" s="16" t="s">
        <v>1223</v>
      </c>
      <c r="N172" s="16" t="s">
        <v>586</v>
      </c>
      <c r="O172" s="16" t="s">
        <v>1224</v>
      </c>
      <c r="P172" s="9" t="s">
        <v>10</v>
      </c>
      <c r="Q172" s="16" t="s">
        <v>551</v>
      </c>
      <c r="R172" s="16" t="s">
        <v>467</v>
      </c>
    </row>
    <row r="173" spans="1:18" x14ac:dyDescent="0.25">
      <c r="A173" s="10">
        <f>ROW(Tabela1[[#This Row],[Toolbox No / Container No]])-1</f>
        <v>172</v>
      </c>
      <c r="B173" s="15" t="s">
        <v>303</v>
      </c>
      <c r="C173" s="15" t="s">
        <v>1219</v>
      </c>
      <c r="D173" s="15" t="s">
        <v>304</v>
      </c>
      <c r="E173" s="15" t="s">
        <v>615</v>
      </c>
      <c r="F173" s="15" t="s">
        <v>1225</v>
      </c>
      <c r="G173" s="15" t="s">
        <v>741</v>
      </c>
      <c r="H173" s="15">
        <v>20140115</v>
      </c>
      <c r="I173" s="6" t="s">
        <v>1226</v>
      </c>
      <c r="J173" s="13">
        <v>45890</v>
      </c>
      <c r="K173" s="13">
        <f>EDATE(Tabela1[[#This Row],[Data da calibração/certificação ]],12)</f>
        <v>46255</v>
      </c>
      <c r="L173" s="14">
        <f ca="1">INT(Tabela1[[#This Row],[Próxima data de calibração/certificação]]-TODAY())</f>
        <v>325</v>
      </c>
      <c r="M173" s="16" t="s">
        <v>1227</v>
      </c>
      <c r="N173" s="16" t="s">
        <v>586</v>
      </c>
      <c r="O173" s="16" t="s">
        <v>1228</v>
      </c>
      <c r="P173" s="9" t="s">
        <v>10</v>
      </c>
      <c r="Q173" s="16" t="s">
        <v>552</v>
      </c>
      <c r="R173" s="16" t="s">
        <v>468</v>
      </c>
    </row>
    <row r="174" spans="1:18" x14ac:dyDescent="0.25">
      <c r="A174" s="10">
        <f>ROW(Tabela1[[#This Row],[Toolbox No / Container No]])-1</f>
        <v>173</v>
      </c>
      <c r="B174" s="15" t="s">
        <v>305</v>
      </c>
      <c r="C174" s="15" t="s">
        <v>1219</v>
      </c>
      <c r="D174" s="15" t="s">
        <v>304</v>
      </c>
      <c r="E174" s="15" t="s">
        <v>615</v>
      </c>
      <c r="F174" s="15" t="s">
        <v>1221</v>
      </c>
      <c r="G174" s="15" t="s">
        <v>741</v>
      </c>
      <c r="H174" s="15" t="s">
        <v>306</v>
      </c>
      <c r="I174" s="6" t="s">
        <v>1229</v>
      </c>
      <c r="J174" s="13">
        <v>45890</v>
      </c>
      <c r="K174" s="13">
        <f>EDATE(Tabela1[[#This Row],[Data da calibração/certificação ]],12)</f>
        <v>46255</v>
      </c>
      <c r="L174" s="14">
        <f ca="1">INT(Tabela1[[#This Row],[Próxima data de calibração/certificação]]-TODAY())</f>
        <v>325</v>
      </c>
      <c r="M174" s="16" t="s">
        <v>1230</v>
      </c>
      <c r="N174" s="16" t="s">
        <v>586</v>
      </c>
      <c r="O174" s="16" t="s">
        <v>1224</v>
      </c>
      <c r="P174" s="9" t="s">
        <v>10</v>
      </c>
      <c r="Q174" s="16" t="s">
        <v>552</v>
      </c>
      <c r="R174" s="16" t="s">
        <v>469</v>
      </c>
    </row>
    <row r="175" spans="1:18" x14ac:dyDescent="0.25">
      <c r="A175" s="10">
        <f>ROW(Tabela1[[#This Row],[Toolbox No / Container No]])-1</f>
        <v>174</v>
      </c>
      <c r="B175" s="15" t="s">
        <v>22</v>
      </c>
      <c r="C175" s="15" t="s">
        <v>1210</v>
      </c>
      <c r="D175" s="15" t="s">
        <v>1211</v>
      </c>
      <c r="E175" s="15" t="s">
        <v>615</v>
      </c>
      <c r="F175" s="15" t="s">
        <v>1212</v>
      </c>
      <c r="G175" s="15" t="s">
        <v>1213</v>
      </c>
      <c r="H175" s="15" t="s">
        <v>23</v>
      </c>
      <c r="I175" s="6" t="s">
        <v>1214</v>
      </c>
      <c r="J175" s="13">
        <v>45839.462500000001</v>
      </c>
      <c r="K175" s="13">
        <f>EDATE(Tabela1[[#This Row],[Data da calibração/certificação ]],12)</f>
        <v>46204</v>
      </c>
      <c r="L175" s="14">
        <f ca="1">INT(Tabela1[[#This Row],[Próxima data de calibração/certificação]]-TODAY())</f>
        <v>274</v>
      </c>
      <c r="M175" s="16" t="s">
        <v>1215</v>
      </c>
      <c r="N175" s="16" t="s">
        <v>586</v>
      </c>
      <c r="O175" s="16" t="s">
        <v>1216</v>
      </c>
      <c r="P175" s="9" t="s">
        <v>10</v>
      </c>
      <c r="Q175" s="16" t="s">
        <v>551</v>
      </c>
      <c r="R175" s="16" t="s">
        <v>465</v>
      </c>
    </row>
    <row r="176" spans="1:18" x14ac:dyDescent="0.25">
      <c r="A176" s="10">
        <f>ROW(Tabela1[[#This Row],[Toolbox No / Container No]])-1</f>
        <v>175</v>
      </c>
      <c r="B176" s="15" t="s">
        <v>272</v>
      </c>
      <c r="C176" s="15" t="s">
        <v>1210</v>
      </c>
      <c r="D176" s="15" t="s">
        <v>615</v>
      </c>
      <c r="E176" s="15" t="s">
        <v>615</v>
      </c>
      <c r="F176" s="15" t="s">
        <v>1231</v>
      </c>
      <c r="G176" s="15" t="s">
        <v>1232</v>
      </c>
      <c r="H176" s="15" t="s">
        <v>273</v>
      </c>
      <c r="I176" s="3" t="s">
        <v>1233</v>
      </c>
      <c r="J176" s="13">
        <v>45790.482638888891</v>
      </c>
      <c r="K176" s="13">
        <f>EDATE(Tabela1[[#This Row],[Data da calibração/certificação ]],12)</f>
        <v>46155</v>
      </c>
      <c r="L176" s="14">
        <f ca="1">INT(Tabela1[[#This Row],[Próxima data de calibração/certificação]]-TODAY())</f>
        <v>225</v>
      </c>
      <c r="M176" s="16" t="s">
        <v>1234</v>
      </c>
      <c r="N176" s="16" t="s">
        <v>586</v>
      </c>
      <c r="O176" s="16" t="s">
        <v>1235</v>
      </c>
      <c r="P176" s="9" t="s">
        <v>10</v>
      </c>
      <c r="Q176" s="16" t="s">
        <v>553</v>
      </c>
      <c r="R176" s="16" t="s">
        <v>470</v>
      </c>
    </row>
    <row r="177" spans="1:18" x14ac:dyDescent="0.25">
      <c r="A177" s="10">
        <f>ROW(Tabela1[[#This Row],[Toolbox No / Container No]])-1</f>
        <v>176</v>
      </c>
      <c r="B177" s="15" t="s">
        <v>302</v>
      </c>
      <c r="C177" s="15" t="s">
        <v>1210</v>
      </c>
      <c r="D177" s="15" t="s">
        <v>1236</v>
      </c>
      <c r="E177" s="15" t="s">
        <v>615</v>
      </c>
      <c r="F177" s="15" t="s">
        <v>1237</v>
      </c>
      <c r="G177" s="15" t="s">
        <v>1238</v>
      </c>
      <c r="H177" s="15"/>
      <c r="I177" s="6" t="s">
        <v>1239</v>
      </c>
      <c r="J177" s="13">
        <v>45790.556944444441</v>
      </c>
      <c r="K177" s="13">
        <f>EDATE(Tabela1[[#This Row],[Data da calibração/certificação ]],12)</f>
        <v>46155</v>
      </c>
      <c r="L177" s="14">
        <f ca="1">INT(Tabela1[[#This Row],[Próxima data de calibração/certificação]]-TODAY())</f>
        <v>225</v>
      </c>
      <c r="M177" s="16" t="s">
        <v>1240</v>
      </c>
      <c r="N177" s="16" t="s">
        <v>586</v>
      </c>
      <c r="O177" s="16" t="s">
        <v>1235</v>
      </c>
      <c r="P177" s="9" t="s">
        <v>10</v>
      </c>
      <c r="Q177" s="16" t="s">
        <v>554</v>
      </c>
      <c r="R177" s="16" t="s">
        <v>471</v>
      </c>
    </row>
    <row r="178" spans="1:18" x14ac:dyDescent="0.25">
      <c r="A178" s="10">
        <f>ROW(Tabela1[[#This Row],[Toolbox No / Container No]])-1</f>
        <v>177</v>
      </c>
      <c r="B178" s="15" t="s">
        <v>294</v>
      </c>
      <c r="C178" s="15" t="s">
        <v>603</v>
      </c>
      <c r="D178" s="15" t="s">
        <v>614</v>
      </c>
      <c r="E178" s="15" t="s">
        <v>615</v>
      </c>
      <c r="F178" s="15" t="s">
        <v>616</v>
      </c>
      <c r="G178" s="15" t="s">
        <v>617</v>
      </c>
      <c r="H178" s="15" t="s">
        <v>295</v>
      </c>
      <c r="I178" s="6" t="s">
        <v>1241</v>
      </c>
      <c r="J178" s="13">
        <v>45777.676388888889</v>
      </c>
      <c r="K178" s="13">
        <f>EDATE(Tabela1[[#This Row],[Data da calibração/certificação ]],12)</f>
        <v>46142</v>
      </c>
      <c r="L178" s="14">
        <f ca="1">INT(Tabela1[[#This Row],[Próxima data de calibração/certificação]]-TODAY())</f>
        <v>212</v>
      </c>
      <c r="M178" s="16" t="s">
        <v>1242</v>
      </c>
      <c r="N178" s="16" t="s">
        <v>620</v>
      </c>
      <c r="O178" s="16" t="s">
        <v>610</v>
      </c>
      <c r="P178" s="9" t="s">
        <v>10</v>
      </c>
      <c r="Q178" s="16" t="s">
        <v>555</v>
      </c>
      <c r="R178" s="16" t="s">
        <v>472</v>
      </c>
    </row>
    <row r="179" spans="1:18" x14ac:dyDescent="0.25">
      <c r="A179" s="10">
        <f>ROW(Tabela1[[#This Row],[Toolbox No / Container No]])-1</f>
        <v>178</v>
      </c>
      <c r="B179" s="10" t="s">
        <v>203</v>
      </c>
      <c r="C179" s="10" t="s">
        <v>1210</v>
      </c>
      <c r="D179" s="10" t="s">
        <v>1243</v>
      </c>
      <c r="E179" s="10">
        <v>6212</v>
      </c>
      <c r="F179" s="10" t="s">
        <v>1244</v>
      </c>
      <c r="G179" s="10" t="s">
        <v>1245</v>
      </c>
      <c r="H179" s="10"/>
      <c r="I179" s="4" t="s">
        <v>1246</v>
      </c>
      <c r="J179" s="12">
        <v>45792.623611111114</v>
      </c>
      <c r="K179" s="13">
        <f>EDATE(Tabela1[[#This Row],[Data da calibração/certificação ]],12)</f>
        <v>46157</v>
      </c>
      <c r="L179" s="14">
        <f ca="1">INT(Tabela1[[#This Row],[Próxima data de calibração/certificação]]-TODAY())</f>
        <v>227</v>
      </c>
      <c r="M179" s="16" t="s">
        <v>1247</v>
      </c>
      <c r="N179" s="16" t="s">
        <v>586</v>
      </c>
      <c r="O179" s="16" t="s">
        <v>1248</v>
      </c>
      <c r="P179" s="9" t="s">
        <v>10</v>
      </c>
      <c r="Q179" s="16" t="s">
        <v>556</v>
      </c>
      <c r="R179" s="16" t="s">
        <v>473</v>
      </c>
    </row>
    <row r="180" spans="1:18" x14ac:dyDescent="0.25">
      <c r="A180" s="10">
        <f>ROW(Tabela1[[#This Row],[Toolbox No / Container No]])-1</f>
        <v>179</v>
      </c>
      <c r="B180" s="15" t="s">
        <v>298</v>
      </c>
      <c r="C180" s="15" t="s">
        <v>1210</v>
      </c>
      <c r="D180" s="15" t="s">
        <v>1249</v>
      </c>
      <c r="E180" s="15" t="s">
        <v>1250</v>
      </c>
      <c r="F180" s="15" t="s">
        <v>1251</v>
      </c>
      <c r="G180" s="15" t="s">
        <v>1245</v>
      </c>
      <c r="H180" s="15"/>
      <c r="I180" s="6" t="s">
        <v>1252</v>
      </c>
      <c r="J180" s="13">
        <v>45790.470833333333</v>
      </c>
      <c r="K180" s="13">
        <f>EDATE(Tabela1[[#This Row],[Data da calibração/certificação ]],12)</f>
        <v>46155</v>
      </c>
      <c r="L180" s="14">
        <f ca="1">INT(Tabela1[[#This Row],[Próxima data de calibração/certificação]]-TODAY())</f>
        <v>225</v>
      </c>
      <c r="M180" s="16" t="s">
        <v>1253</v>
      </c>
      <c r="N180" s="16" t="s">
        <v>586</v>
      </c>
      <c r="O180" s="16" t="s">
        <v>1235</v>
      </c>
      <c r="P180" s="9" t="s">
        <v>10</v>
      </c>
      <c r="Q180" s="16" t="s">
        <v>557</v>
      </c>
      <c r="R180" s="16" t="s">
        <v>474</v>
      </c>
    </row>
    <row r="181" spans="1:18" x14ac:dyDescent="0.25">
      <c r="A181" s="10">
        <f>ROW(Tabela1[[#This Row],[Toolbox No / Container No]])-1</f>
        <v>180</v>
      </c>
      <c r="B181" s="10" t="s">
        <v>73</v>
      </c>
      <c r="C181" s="10" t="s">
        <v>1210</v>
      </c>
      <c r="D181" s="10" t="s">
        <v>1211</v>
      </c>
      <c r="E181" s="10" t="s">
        <v>1254</v>
      </c>
      <c r="F181" s="10" t="s">
        <v>1255</v>
      </c>
      <c r="G181" s="10" t="s">
        <v>1213</v>
      </c>
      <c r="H181" s="10" t="s">
        <v>74</v>
      </c>
      <c r="I181" s="4" t="s">
        <v>1256</v>
      </c>
      <c r="J181" s="12">
        <v>45841.572222222225</v>
      </c>
      <c r="K181" s="13">
        <f>EDATE(Tabela1[[#This Row],[Data da calibração/certificação ]],12)</f>
        <v>46206</v>
      </c>
      <c r="L181" s="14">
        <f ca="1">INT(Tabela1[[#This Row],[Próxima data de calibração/certificação]]-TODAY())</f>
        <v>276</v>
      </c>
      <c r="M181" s="16" t="s">
        <v>1257</v>
      </c>
      <c r="N181" s="16" t="s">
        <v>586</v>
      </c>
      <c r="O181" s="16" t="s">
        <v>1235</v>
      </c>
      <c r="P181" s="9" t="s">
        <v>10</v>
      </c>
      <c r="Q181" s="16" t="s">
        <v>558</v>
      </c>
      <c r="R181" s="16" t="s">
        <v>475</v>
      </c>
    </row>
    <row r="182" spans="1:18" x14ac:dyDescent="0.25">
      <c r="A182" s="10">
        <f>ROW(Tabela1[[#This Row],[Toolbox No / Container No]])-1</f>
        <v>181</v>
      </c>
      <c r="B182" s="10" t="s">
        <v>82</v>
      </c>
      <c r="C182" s="10" t="s">
        <v>1210</v>
      </c>
      <c r="D182" s="10" t="s">
        <v>1258</v>
      </c>
      <c r="E182" s="10" t="s">
        <v>1259</v>
      </c>
      <c r="F182" s="10" t="s">
        <v>1260</v>
      </c>
      <c r="G182" s="10" t="s">
        <v>1213</v>
      </c>
      <c r="H182" s="10" t="s">
        <v>83</v>
      </c>
      <c r="I182" s="4" t="s">
        <v>1261</v>
      </c>
      <c r="J182" s="12">
        <v>45870.439583333333</v>
      </c>
      <c r="K182" s="13">
        <f>EDATE(Tabela1[[#This Row],[Data da calibração/certificação ]],12)</f>
        <v>46235</v>
      </c>
      <c r="L182" s="14">
        <f ca="1">INT(Tabela1[[#This Row],[Próxima data de calibração/certificação]]-TODAY())</f>
        <v>305</v>
      </c>
      <c r="M182" s="16" t="s">
        <v>1262</v>
      </c>
      <c r="N182" s="16" t="s">
        <v>586</v>
      </c>
      <c r="O182" s="16" t="s">
        <v>1216</v>
      </c>
      <c r="P182" s="9" t="s">
        <v>10</v>
      </c>
      <c r="Q182" s="16" t="s">
        <v>558</v>
      </c>
      <c r="R182" s="16" t="s">
        <v>476</v>
      </c>
    </row>
    <row r="183" spans="1:18" x14ac:dyDescent="0.25">
      <c r="A183" s="10">
        <f>ROW(Tabela1[[#This Row],[Toolbox No / Container No]])-1</f>
        <v>182</v>
      </c>
      <c r="B183" s="10" t="s">
        <v>77</v>
      </c>
      <c r="C183" s="10" t="s">
        <v>1210</v>
      </c>
      <c r="D183" s="10" t="s">
        <v>1263</v>
      </c>
      <c r="E183" s="10" t="s">
        <v>1264</v>
      </c>
      <c r="F183" s="10" t="s">
        <v>1265</v>
      </c>
      <c r="G183" s="10" t="s">
        <v>1245</v>
      </c>
      <c r="H183" s="10" t="s">
        <v>78</v>
      </c>
      <c r="I183" s="4" t="s">
        <v>1266</v>
      </c>
      <c r="J183" s="12">
        <v>45841.572222222225</v>
      </c>
      <c r="K183" s="13">
        <f>EDATE(Tabela1[[#This Row],[Data da calibração/certificação ]],12)</f>
        <v>46206</v>
      </c>
      <c r="L183" s="14">
        <f ca="1">INT(Tabela1[[#This Row],[Próxima data de calibração/certificação]]-TODAY())</f>
        <v>276</v>
      </c>
      <c r="M183" s="16" t="s">
        <v>1267</v>
      </c>
      <c r="N183" s="16" t="s">
        <v>586</v>
      </c>
      <c r="O183" s="16" t="s">
        <v>1235</v>
      </c>
      <c r="P183" s="9" t="s">
        <v>10</v>
      </c>
      <c r="Q183" s="16" t="s">
        <v>559</v>
      </c>
      <c r="R183" s="16" t="s">
        <v>477</v>
      </c>
    </row>
    <row r="184" spans="1:18" x14ac:dyDescent="0.25">
      <c r="A184" s="10">
        <f>ROW(Tabela1[[#This Row],[Toolbox No / Container No]])-1</f>
        <v>183</v>
      </c>
      <c r="B184" s="15" t="s">
        <v>232</v>
      </c>
      <c r="C184" s="15" t="s">
        <v>1210</v>
      </c>
      <c r="D184" s="15" t="s">
        <v>1268</v>
      </c>
      <c r="E184" s="15" t="s">
        <v>615</v>
      </c>
      <c r="F184" s="15" t="s">
        <v>1269</v>
      </c>
      <c r="G184" s="15" t="s">
        <v>1238</v>
      </c>
      <c r="H184" s="15"/>
      <c r="I184" s="5" t="s">
        <v>1270</v>
      </c>
      <c r="J184" s="13">
        <v>45904</v>
      </c>
      <c r="K184" s="13">
        <f>EDATE(Tabela1[[#This Row],[Data da calibração/certificação ]],12)</f>
        <v>46269</v>
      </c>
      <c r="L184" s="14">
        <f ca="1">INT(Tabela1[[#This Row],[Próxima data de calibração/certificação]]-TODAY())</f>
        <v>339</v>
      </c>
      <c r="M184" s="16" t="s">
        <v>1271</v>
      </c>
      <c r="N184" s="16" t="s">
        <v>586</v>
      </c>
      <c r="O184" s="16" t="s">
        <v>1235</v>
      </c>
      <c r="P184" s="9" t="s">
        <v>10</v>
      </c>
      <c r="Q184" s="16" t="s">
        <v>560</v>
      </c>
      <c r="R184" s="16" t="s">
        <v>478</v>
      </c>
    </row>
    <row r="185" spans="1:18" x14ac:dyDescent="0.25">
      <c r="A185" s="10">
        <f>ROW(Tabela1[[#This Row],[Toolbox No / Container No]])-1</f>
        <v>184</v>
      </c>
      <c r="B185" s="10" t="s">
        <v>45</v>
      </c>
      <c r="C185" s="10" t="s">
        <v>1272</v>
      </c>
      <c r="D185" s="10" t="s">
        <v>1273</v>
      </c>
      <c r="E185" s="10" t="s">
        <v>615</v>
      </c>
      <c r="F185" s="10" t="s">
        <v>1274</v>
      </c>
      <c r="G185" s="10" t="s">
        <v>1275</v>
      </c>
      <c r="H185" s="10"/>
      <c r="I185" s="4" t="s">
        <v>1276</v>
      </c>
      <c r="J185" s="12">
        <v>45632.37222222222</v>
      </c>
      <c r="K185" s="13">
        <f>EDATE(Tabela1[[#This Row],[Data da calibração/certificação ]],12)</f>
        <v>45997</v>
      </c>
      <c r="L185" s="14">
        <f ca="1">INT(Tabela1[[#This Row],[Próxima data de calibração/certificação]]-TODAY())</f>
        <v>67</v>
      </c>
      <c r="M185" s="16" t="s">
        <v>1277</v>
      </c>
      <c r="N185" s="16" t="s">
        <v>586</v>
      </c>
      <c r="O185" s="16" t="s">
        <v>1278</v>
      </c>
      <c r="P185" s="9" t="s">
        <v>10</v>
      </c>
      <c r="Q185" s="16" t="s">
        <v>561</v>
      </c>
      <c r="R185" s="16" t="s">
        <v>479</v>
      </c>
    </row>
    <row r="186" spans="1:18" x14ac:dyDescent="0.25">
      <c r="A186" s="10">
        <f>ROW(Tabela1[[#This Row],[Toolbox No / Container No]])-1</f>
        <v>185</v>
      </c>
      <c r="B186" s="10" t="s">
        <v>176</v>
      </c>
      <c r="C186" s="10" t="s">
        <v>1272</v>
      </c>
      <c r="D186" s="10" t="s">
        <v>99</v>
      </c>
      <c r="E186" s="10" t="s">
        <v>615</v>
      </c>
      <c r="F186" s="10" t="s">
        <v>1279</v>
      </c>
      <c r="G186" s="10" t="s">
        <v>1275</v>
      </c>
      <c r="H186" s="10"/>
      <c r="I186" s="4" t="s">
        <v>1280</v>
      </c>
      <c r="J186" s="12">
        <v>45663.431250000001</v>
      </c>
      <c r="K186" s="13">
        <f>EDATE(Tabela1[[#This Row],[Data da calibração/certificação ]],12)</f>
        <v>46028</v>
      </c>
      <c r="L186" s="14">
        <f ca="1">INT(Tabela1[[#This Row],[Próxima data de calibração/certificação]]-TODAY())</f>
        <v>98</v>
      </c>
      <c r="M186" s="16" t="s">
        <v>1281</v>
      </c>
      <c r="N186" s="16" t="s">
        <v>586</v>
      </c>
      <c r="O186" s="16" t="s">
        <v>1278</v>
      </c>
      <c r="P186" s="9" t="s">
        <v>10</v>
      </c>
      <c r="Q186" s="16" t="s">
        <v>561</v>
      </c>
      <c r="R186" s="16" t="s">
        <v>480</v>
      </c>
    </row>
    <row r="187" spans="1:18" x14ac:dyDescent="0.25">
      <c r="A187" s="10">
        <f>ROW(Tabela1[[#This Row],[Toolbox No / Container No]])-1</f>
        <v>186</v>
      </c>
      <c r="B187" s="10" t="s">
        <v>177</v>
      </c>
      <c r="C187" s="10" t="s">
        <v>1272</v>
      </c>
      <c r="D187" s="10" t="s">
        <v>99</v>
      </c>
      <c r="E187" s="10" t="s">
        <v>615</v>
      </c>
      <c r="F187" s="10" t="s">
        <v>1279</v>
      </c>
      <c r="G187" s="10" t="s">
        <v>1275</v>
      </c>
      <c r="H187" s="10"/>
      <c r="I187" s="4" t="s">
        <v>1282</v>
      </c>
      <c r="J187" s="12">
        <v>45663.423611111109</v>
      </c>
      <c r="K187" s="13">
        <f>EDATE(Tabela1[[#This Row],[Data da calibração/certificação ]],12)</f>
        <v>46028</v>
      </c>
      <c r="L187" s="14">
        <f ca="1">INT(Tabela1[[#This Row],[Próxima data de calibração/certificação]]-TODAY())</f>
        <v>98</v>
      </c>
      <c r="M187" s="16" t="s">
        <v>1281</v>
      </c>
      <c r="N187" s="16" t="s">
        <v>586</v>
      </c>
      <c r="O187" s="16" t="s">
        <v>1283</v>
      </c>
      <c r="P187" s="9" t="s">
        <v>10</v>
      </c>
      <c r="Q187" s="16" t="s">
        <v>561</v>
      </c>
      <c r="R187" s="16" t="s">
        <v>481</v>
      </c>
    </row>
    <row r="188" spans="1:18" x14ac:dyDescent="0.25">
      <c r="A188" s="10">
        <f>ROW(Tabela1[[#This Row],[Toolbox No / Container No]])-1</f>
        <v>187</v>
      </c>
      <c r="B188" s="10" t="s">
        <v>178</v>
      </c>
      <c r="C188" s="10" t="s">
        <v>1272</v>
      </c>
      <c r="D188" s="10" t="s">
        <v>99</v>
      </c>
      <c r="E188" s="10" t="s">
        <v>615</v>
      </c>
      <c r="F188" s="10" t="s">
        <v>1279</v>
      </c>
      <c r="G188" s="10" t="s">
        <v>1275</v>
      </c>
      <c r="H188" s="10"/>
      <c r="I188" s="4" t="s">
        <v>1284</v>
      </c>
      <c r="J188" s="12">
        <v>45663.42291666667</v>
      </c>
      <c r="K188" s="13">
        <f>EDATE(Tabela1[[#This Row],[Data da calibração/certificação ]],12)</f>
        <v>46028</v>
      </c>
      <c r="L188" s="14">
        <f ca="1">INT(Tabela1[[#This Row],[Próxima data de calibração/certificação]]-TODAY())</f>
        <v>98</v>
      </c>
      <c r="M188" s="16" t="s">
        <v>1281</v>
      </c>
      <c r="N188" s="16" t="s">
        <v>586</v>
      </c>
      <c r="O188" s="16" t="s">
        <v>1283</v>
      </c>
      <c r="P188" s="9" t="s">
        <v>10</v>
      </c>
      <c r="Q188" s="16" t="s">
        <v>561</v>
      </c>
      <c r="R188" s="16" t="s">
        <v>482</v>
      </c>
    </row>
    <row r="189" spans="1:18" x14ac:dyDescent="0.25">
      <c r="A189" s="10">
        <f>ROW(Tabela1[[#This Row],[Toolbox No / Container No]])-1</f>
        <v>188</v>
      </c>
      <c r="B189" s="10" t="s">
        <v>179</v>
      </c>
      <c r="C189" s="10" t="s">
        <v>1272</v>
      </c>
      <c r="D189" s="10" t="s">
        <v>99</v>
      </c>
      <c r="E189" s="10" t="s">
        <v>615</v>
      </c>
      <c r="F189" s="10" t="s">
        <v>1279</v>
      </c>
      <c r="G189" s="10" t="s">
        <v>1275</v>
      </c>
      <c r="H189" s="10"/>
      <c r="I189" s="4" t="s">
        <v>1285</v>
      </c>
      <c r="J189" s="12">
        <v>45663.350694444445</v>
      </c>
      <c r="K189" s="13">
        <f>EDATE(Tabela1[[#This Row],[Data da calibração/certificação ]],12)</f>
        <v>46028</v>
      </c>
      <c r="L189" s="14">
        <f ca="1">INT(Tabela1[[#This Row],[Próxima data de calibração/certificação]]-TODAY())</f>
        <v>98</v>
      </c>
      <c r="M189" s="16" t="s">
        <v>1281</v>
      </c>
      <c r="N189" s="16" t="s">
        <v>586</v>
      </c>
      <c r="O189" s="16" t="s">
        <v>1283</v>
      </c>
      <c r="P189" s="9" t="s">
        <v>10</v>
      </c>
      <c r="Q189" s="16" t="s">
        <v>561</v>
      </c>
      <c r="R189" s="16" t="s">
        <v>483</v>
      </c>
    </row>
    <row r="190" spans="1:18" x14ac:dyDescent="0.25">
      <c r="A190" s="10">
        <f>ROW(Tabela1[[#This Row],[Toolbox No / Container No]])-1</f>
        <v>189</v>
      </c>
      <c r="B190" s="10" t="s">
        <v>180</v>
      </c>
      <c r="C190" s="10" t="s">
        <v>1272</v>
      </c>
      <c r="D190" s="10" t="s">
        <v>99</v>
      </c>
      <c r="E190" s="10" t="s">
        <v>615</v>
      </c>
      <c r="F190" s="10" t="s">
        <v>1279</v>
      </c>
      <c r="G190" s="10" t="s">
        <v>1275</v>
      </c>
      <c r="H190" s="10"/>
      <c r="I190" s="4" t="s">
        <v>1286</v>
      </c>
      <c r="J190" s="12">
        <v>45663.62222222222</v>
      </c>
      <c r="K190" s="13">
        <f>EDATE(Tabela1[[#This Row],[Data da calibração/certificação ]],12)</f>
        <v>46028</v>
      </c>
      <c r="L190" s="14">
        <f ca="1">INT(Tabela1[[#This Row],[Próxima data de calibração/certificação]]-TODAY())</f>
        <v>98</v>
      </c>
      <c r="M190" s="16" t="s">
        <v>1287</v>
      </c>
      <c r="N190" s="16" t="s">
        <v>586</v>
      </c>
      <c r="O190" s="16" t="s">
        <v>1283</v>
      </c>
      <c r="P190" s="9" t="s">
        <v>10</v>
      </c>
      <c r="Q190" s="16" t="s">
        <v>561</v>
      </c>
      <c r="R190" s="16" t="s">
        <v>484</v>
      </c>
    </row>
    <row r="191" spans="1:18" x14ac:dyDescent="0.25">
      <c r="A191" s="10">
        <f>ROW(Tabela1[[#This Row],[Toolbox No / Container No]])-1</f>
        <v>190</v>
      </c>
      <c r="B191" s="10" t="s">
        <v>212</v>
      </c>
      <c r="C191" s="10" t="s">
        <v>1272</v>
      </c>
      <c r="D191" s="10" t="s">
        <v>1273</v>
      </c>
      <c r="E191" s="10" t="s">
        <v>615</v>
      </c>
      <c r="F191" s="10" t="s">
        <v>1274</v>
      </c>
      <c r="G191" s="10" t="s">
        <v>1275</v>
      </c>
      <c r="H191" s="10"/>
      <c r="I191" s="4" t="s">
        <v>1288</v>
      </c>
      <c r="J191" s="12">
        <v>45632.658333333333</v>
      </c>
      <c r="K191" s="13">
        <f>EDATE(Tabela1[[#This Row],[Data da calibração/certificação ]],12)</f>
        <v>45997</v>
      </c>
      <c r="L191" s="14">
        <f ca="1">INT(Tabela1[[#This Row],[Próxima data de calibração/certificação]]-TODAY())</f>
        <v>67</v>
      </c>
      <c r="M191" s="16" t="s">
        <v>1289</v>
      </c>
      <c r="N191" s="16" t="s">
        <v>586</v>
      </c>
      <c r="O191" s="16" t="s">
        <v>1290</v>
      </c>
      <c r="P191" s="9" t="s">
        <v>10</v>
      </c>
      <c r="Q191" s="16" t="s">
        <v>561</v>
      </c>
      <c r="R191" s="16" t="s">
        <v>485</v>
      </c>
    </row>
    <row r="192" spans="1:18" x14ac:dyDescent="0.25">
      <c r="A192" s="10">
        <f>ROW(Tabela1[[#This Row],[Toolbox No / Container No]])-1</f>
        <v>191</v>
      </c>
      <c r="B192" s="10" t="s">
        <v>126</v>
      </c>
      <c r="C192" s="10" t="s">
        <v>603</v>
      </c>
      <c r="D192" s="10" t="s">
        <v>614</v>
      </c>
      <c r="E192" s="10" t="s">
        <v>615</v>
      </c>
      <c r="F192" s="10" t="s">
        <v>1291</v>
      </c>
      <c r="G192" s="10" t="s">
        <v>617</v>
      </c>
      <c r="H192" s="10"/>
      <c r="I192" s="5" t="s">
        <v>1292</v>
      </c>
      <c r="J192" s="12">
        <v>45904</v>
      </c>
      <c r="K192" s="13">
        <f>EDATE(Tabela1[[#This Row],[Data da calibração/certificação ]],12)</f>
        <v>46269</v>
      </c>
      <c r="L192" s="14">
        <f ca="1">INT(Tabela1[[#This Row],[Próxima data de calibração/certificação]]-TODAY())</f>
        <v>339</v>
      </c>
      <c r="M192" s="16" t="s">
        <v>1293</v>
      </c>
      <c r="N192" s="16" t="s">
        <v>620</v>
      </c>
      <c r="O192" s="16" t="s">
        <v>610</v>
      </c>
      <c r="P192" s="9" t="s">
        <v>10</v>
      </c>
      <c r="Q192" s="16" t="s">
        <v>562</v>
      </c>
      <c r="R192" s="16" t="s">
        <v>486</v>
      </c>
    </row>
    <row r="193" spans="1:18" x14ac:dyDescent="0.25">
      <c r="A193" s="10">
        <f>ROW(Tabela1[[#This Row],[Toolbox No / Container No]])-1</f>
        <v>192</v>
      </c>
      <c r="B193" s="10" t="s">
        <v>127</v>
      </c>
      <c r="C193" s="10" t="s">
        <v>1294</v>
      </c>
      <c r="D193" s="10" t="s">
        <v>129</v>
      </c>
      <c r="E193" s="10" t="s">
        <v>1295</v>
      </c>
      <c r="F193" s="10" t="s">
        <v>1296</v>
      </c>
      <c r="G193" s="10" t="s">
        <v>1297</v>
      </c>
      <c r="H193" s="10"/>
      <c r="I193" s="5" t="s">
        <v>1298</v>
      </c>
      <c r="J193" s="12">
        <v>45904</v>
      </c>
      <c r="K193" s="13">
        <f>EDATE(Tabela1[[#This Row],[Data da calibração/certificação ]],12)</f>
        <v>46269</v>
      </c>
      <c r="L193" s="14">
        <f ca="1">INT(Tabela1[[#This Row],[Próxima data de calibração/certificação]]-TODAY())</f>
        <v>339</v>
      </c>
      <c r="M193" s="16" t="s">
        <v>1299</v>
      </c>
      <c r="N193" s="16" t="s">
        <v>586</v>
      </c>
      <c r="O193" s="16" t="s">
        <v>877</v>
      </c>
      <c r="P193" s="9" t="s">
        <v>10</v>
      </c>
      <c r="Q193" s="16" t="s">
        <v>563</v>
      </c>
      <c r="R193" s="16" t="s">
        <v>487</v>
      </c>
    </row>
    <row r="194" spans="1:18" x14ac:dyDescent="0.25">
      <c r="A194" s="10">
        <f>ROW(Tabela1[[#This Row],[Toolbox No / Container No]])-1</f>
        <v>193</v>
      </c>
      <c r="B194" s="10" t="s">
        <v>128</v>
      </c>
      <c r="C194" s="10" t="s">
        <v>1294</v>
      </c>
      <c r="D194" s="10" t="s">
        <v>129</v>
      </c>
      <c r="E194" s="10" t="s">
        <v>1295</v>
      </c>
      <c r="F194" s="10" t="s">
        <v>1296</v>
      </c>
      <c r="G194" s="10" t="s">
        <v>1297</v>
      </c>
      <c r="H194" s="10"/>
      <c r="I194" s="5" t="s">
        <v>1298</v>
      </c>
      <c r="J194" s="12">
        <v>45903</v>
      </c>
      <c r="K194" s="13">
        <f>EDATE(Tabela1[[#This Row],[Data da calibração/certificação ]],12)</f>
        <v>46268</v>
      </c>
      <c r="L194" s="14">
        <f ca="1">INT(Tabela1[[#This Row],[Próxima data de calibração/certificação]]-TODAY())</f>
        <v>338</v>
      </c>
      <c r="M194" s="16" t="s">
        <v>1299</v>
      </c>
      <c r="N194" s="16" t="s">
        <v>586</v>
      </c>
      <c r="O194" s="16" t="s">
        <v>877</v>
      </c>
      <c r="P194" s="9" t="s">
        <v>10</v>
      </c>
      <c r="Q194" s="16" t="s">
        <v>564</v>
      </c>
      <c r="R194" s="16" t="s">
        <v>488</v>
      </c>
    </row>
    <row r="195" spans="1:18" x14ac:dyDescent="0.25">
      <c r="A195" s="10">
        <f>ROW(Tabela1[[#This Row],[Toolbox No / Container No]])-1</f>
        <v>194</v>
      </c>
      <c r="B195" s="10" t="s">
        <v>130</v>
      </c>
      <c r="C195" s="10" t="s">
        <v>1294</v>
      </c>
      <c r="D195" s="10" t="s">
        <v>125</v>
      </c>
      <c r="E195" s="10" t="s">
        <v>1300</v>
      </c>
      <c r="F195" s="10" t="s">
        <v>1301</v>
      </c>
      <c r="G195" s="10" t="s">
        <v>677</v>
      </c>
      <c r="H195" s="10"/>
      <c r="I195" s="5" t="s">
        <v>1302</v>
      </c>
      <c r="J195" s="12">
        <v>45904</v>
      </c>
      <c r="K195" s="13">
        <f>EDATE(Tabela1[[#This Row],[Data da calibração/certificação ]],12)</f>
        <v>46269</v>
      </c>
      <c r="L195" s="14">
        <f ca="1">INT(Tabela1[[#This Row],[Próxima data de calibração/certificação]]-TODAY())</f>
        <v>339</v>
      </c>
      <c r="M195" s="16" t="s">
        <v>1303</v>
      </c>
      <c r="N195" s="16" t="s">
        <v>586</v>
      </c>
      <c r="O195" s="16" t="s">
        <v>680</v>
      </c>
      <c r="P195" s="9" t="s">
        <v>10</v>
      </c>
      <c r="Q195" s="16" t="s">
        <v>565</v>
      </c>
      <c r="R195" s="16" t="s">
        <v>489</v>
      </c>
    </row>
    <row r="196" spans="1:18" x14ac:dyDescent="0.25">
      <c r="A196" s="10">
        <f>ROW(Tabela1[[#This Row],[Toolbox No / Container No]])-1</f>
        <v>195</v>
      </c>
      <c r="B196" s="10" t="s">
        <v>131</v>
      </c>
      <c r="C196" s="10" t="s">
        <v>1294</v>
      </c>
      <c r="D196" s="10" t="s">
        <v>1304</v>
      </c>
      <c r="E196" s="10" t="s">
        <v>615</v>
      </c>
      <c r="F196" s="10" t="s">
        <v>1305</v>
      </c>
      <c r="G196" s="10" t="s">
        <v>702</v>
      </c>
      <c r="H196" s="10"/>
      <c r="I196" s="5" t="s">
        <v>1306</v>
      </c>
      <c r="J196" s="12">
        <v>45904</v>
      </c>
      <c r="K196" s="13">
        <f>EDATE(Tabela1[[#This Row],[Data da calibração/certificação ]],12)</f>
        <v>46269</v>
      </c>
      <c r="L196" s="14">
        <f ca="1">INT(Tabela1[[#This Row],[Próxima data de calibração/certificação]]-TODAY())</f>
        <v>339</v>
      </c>
      <c r="M196" s="16" t="s">
        <v>1307</v>
      </c>
      <c r="N196" s="16" t="s">
        <v>586</v>
      </c>
      <c r="O196" s="16" t="s">
        <v>680</v>
      </c>
      <c r="P196" s="9" t="s">
        <v>10</v>
      </c>
      <c r="Q196" s="16" t="s">
        <v>566</v>
      </c>
      <c r="R196" s="16" t="s">
        <v>490</v>
      </c>
    </row>
    <row r="197" spans="1:18" x14ac:dyDescent="0.25">
      <c r="A197" s="10">
        <f>ROW(Tabela1[[#This Row],[Toolbox No / Container No]])-1</f>
        <v>196</v>
      </c>
      <c r="B197" s="10" t="s">
        <v>132</v>
      </c>
      <c r="C197" s="10" t="s">
        <v>603</v>
      </c>
      <c r="D197" s="10" t="s">
        <v>604</v>
      </c>
      <c r="E197" s="10" t="s">
        <v>605</v>
      </c>
      <c r="F197" s="10" t="s">
        <v>611</v>
      </c>
      <c r="G197" s="10" t="s">
        <v>607</v>
      </c>
      <c r="H197" s="10"/>
      <c r="I197" s="5" t="s">
        <v>1308</v>
      </c>
      <c r="J197" s="12">
        <v>45904</v>
      </c>
      <c r="K197" s="13">
        <f>EDATE(Tabela1[[#This Row],[Data da calibração/certificação ]],12)</f>
        <v>46269</v>
      </c>
      <c r="L197" s="14">
        <f ca="1">INT(Tabela1[[#This Row],[Próxima data de calibração/certificação]]-TODAY())</f>
        <v>339</v>
      </c>
      <c r="M197" s="16" t="s">
        <v>1309</v>
      </c>
      <c r="N197" s="16" t="s">
        <v>586</v>
      </c>
      <c r="O197" s="16" t="s">
        <v>610</v>
      </c>
      <c r="P197" s="9" t="s">
        <v>10</v>
      </c>
      <c r="Q197" s="16" t="s">
        <v>566</v>
      </c>
      <c r="R197" s="16" t="s">
        <v>491</v>
      </c>
    </row>
    <row r="198" spans="1:18" x14ac:dyDescent="0.25">
      <c r="A198" s="10">
        <f>ROW(Tabela1[[#This Row],[Toolbox No / Container No]])-1</f>
        <v>197</v>
      </c>
      <c r="B198" s="10" t="s">
        <v>133</v>
      </c>
      <c r="C198" s="10" t="s">
        <v>603</v>
      </c>
      <c r="D198" s="10" t="s">
        <v>604</v>
      </c>
      <c r="E198" s="10" t="s">
        <v>605</v>
      </c>
      <c r="F198" s="10" t="s">
        <v>606</v>
      </c>
      <c r="G198" s="10" t="s">
        <v>607</v>
      </c>
      <c r="H198" s="10"/>
      <c r="I198" s="5" t="s">
        <v>1310</v>
      </c>
      <c r="J198" s="12">
        <v>45904</v>
      </c>
      <c r="K198" s="13">
        <f>EDATE(Tabela1[[#This Row],[Data da calibração/certificação ]],12)</f>
        <v>46269</v>
      </c>
      <c r="L198" s="14">
        <f ca="1">INT(Tabela1[[#This Row],[Próxima data de calibração/certificação]]-TODAY())</f>
        <v>339</v>
      </c>
      <c r="M198" s="16" t="s">
        <v>1311</v>
      </c>
      <c r="N198" s="16" t="s">
        <v>586</v>
      </c>
      <c r="O198" s="16" t="s">
        <v>610</v>
      </c>
      <c r="P198" s="9" t="s">
        <v>10</v>
      </c>
      <c r="Q198" s="16" t="s">
        <v>566</v>
      </c>
      <c r="R198" s="16" t="s">
        <v>492</v>
      </c>
    </row>
    <row r="199" spans="1:18" x14ac:dyDescent="0.25">
      <c r="A199" s="10">
        <f>ROW(Tabela1[[#This Row],[Toolbox No / Container No]])-1</f>
        <v>198</v>
      </c>
      <c r="B199" s="10" t="s">
        <v>134</v>
      </c>
      <c r="C199" s="10" t="s">
        <v>1294</v>
      </c>
      <c r="D199" s="10" t="s">
        <v>125</v>
      </c>
      <c r="E199" s="10" t="s">
        <v>615</v>
      </c>
      <c r="F199" s="10" t="s">
        <v>1312</v>
      </c>
      <c r="G199" s="10" t="s">
        <v>677</v>
      </c>
      <c r="H199" s="10"/>
      <c r="I199" s="5" t="s">
        <v>1313</v>
      </c>
      <c r="J199" s="12">
        <v>45904</v>
      </c>
      <c r="K199" s="13">
        <f>EDATE(Tabela1[[#This Row],[Data da calibração/certificação ]],12)</f>
        <v>46269</v>
      </c>
      <c r="L199" s="14">
        <f ca="1">INT(Tabela1[[#This Row],[Próxima data de calibração/certificação]]-TODAY())</f>
        <v>339</v>
      </c>
      <c r="M199" s="16" t="s">
        <v>1314</v>
      </c>
      <c r="N199" s="16" t="s">
        <v>586</v>
      </c>
      <c r="O199" s="16" t="s">
        <v>680</v>
      </c>
      <c r="P199" s="9" t="s">
        <v>10</v>
      </c>
      <c r="Q199" s="16" t="s">
        <v>567</v>
      </c>
      <c r="R199" s="16" t="s">
        <v>493</v>
      </c>
    </row>
    <row r="200" spans="1:18" x14ac:dyDescent="0.25">
      <c r="A200" s="10">
        <f>ROW(Tabela1[[#This Row],[Toolbox No / Container No]])-1</f>
        <v>199</v>
      </c>
      <c r="B200" s="10" t="s">
        <v>135</v>
      </c>
      <c r="C200" s="10" t="s">
        <v>1294</v>
      </c>
      <c r="D200" s="10" t="s">
        <v>1304</v>
      </c>
      <c r="E200" s="10" t="s">
        <v>615</v>
      </c>
      <c r="F200" s="10" t="s">
        <v>1305</v>
      </c>
      <c r="G200" s="10" t="s">
        <v>1297</v>
      </c>
      <c r="H200" s="10"/>
      <c r="I200" s="5" t="s">
        <v>1315</v>
      </c>
      <c r="J200" s="12">
        <v>45903</v>
      </c>
      <c r="K200" s="13">
        <f>EDATE(Tabela1[[#This Row],[Data da calibração/certificação ]],12)</f>
        <v>46268</v>
      </c>
      <c r="L200" s="14">
        <f ca="1">INT(Tabela1[[#This Row],[Próxima data de calibração/certificação]]-TODAY())</f>
        <v>338</v>
      </c>
      <c r="M200" s="16" t="s">
        <v>1316</v>
      </c>
      <c r="N200" s="16" t="s">
        <v>586</v>
      </c>
      <c r="O200" s="16" t="s">
        <v>877</v>
      </c>
      <c r="P200" s="9" t="s">
        <v>10</v>
      </c>
      <c r="Q200" s="16" t="s">
        <v>566</v>
      </c>
      <c r="R200" s="16" t="s">
        <v>494</v>
      </c>
    </row>
    <row r="201" spans="1:18" x14ac:dyDescent="0.25">
      <c r="A201" s="10">
        <f>ROW(Tabela1[[#This Row],[Toolbox No / Container No]])-1</f>
        <v>200</v>
      </c>
      <c r="B201" s="10" t="s">
        <v>136</v>
      </c>
      <c r="C201" s="10" t="s">
        <v>1294</v>
      </c>
      <c r="D201" s="10" t="s">
        <v>102</v>
      </c>
      <c r="E201" s="10" t="s">
        <v>1317</v>
      </c>
      <c r="F201" s="10" t="s">
        <v>1305</v>
      </c>
      <c r="G201" s="10" t="s">
        <v>1297</v>
      </c>
      <c r="H201" s="10"/>
      <c r="I201" s="5" t="s">
        <v>1318</v>
      </c>
      <c r="J201" s="12">
        <v>45872</v>
      </c>
      <c r="K201" s="13">
        <f>EDATE(Tabela1[[#This Row],[Data da calibração/certificação ]],12)</f>
        <v>46237</v>
      </c>
      <c r="L201" s="14">
        <f ca="1">INT(Tabela1[[#This Row],[Próxima data de calibração/certificação]]-TODAY())</f>
        <v>307</v>
      </c>
      <c r="M201" s="16" t="s">
        <v>1319</v>
      </c>
      <c r="N201" s="16" t="s">
        <v>586</v>
      </c>
      <c r="O201" s="16" t="s">
        <v>877</v>
      </c>
      <c r="P201" s="9" t="s">
        <v>10</v>
      </c>
      <c r="Q201" s="16" t="s">
        <v>568</v>
      </c>
      <c r="R201" s="16" t="s">
        <v>495</v>
      </c>
    </row>
    <row r="202" spans="1:18" x14ac:dyDescent="0.25">
      <c r="A202" s="10">
        <f>ROW(Tabela1[[#This Row],[Toolbox No / Container No]])-1</f>
        <v>201</v>
      </c>
      <c r="B202" s="10" t="s">
        <v>8</v>
      </c>
      <c r="C202" s="10" t="s">
        <v>1320</v>
      </c>
      <c r="D202" s="10" t="s">
        <v>1321</v>
      </c>
      <c r="E202" s="10" t="s">
        <v>1322</v>
      </c>
      <c r="F202" s="10" t="s">
        <v>1323</v>
      </c>
      <c r="G202" s="10" t="s">
        <v>880</v>
      </c>
      <c r="H202" s="10" t="s">
        <v>9</v>
      </c>
      <c r="I202" s="4" t="s">
        <v>1324</v>
      </c>
      <c r="J202" s="12">
        <v>45870</v>
      </c>
      <c r="K202" s="13">
        <f>EDATE(Tabela1[[#This Row],[Data da calibração/certificação ]],12)</f>
        <v>46235</v>
      </c>
      <c r="L202" s="14">
        <f ca="1">INT(Tabela1[[#This Row],[Próxima data de calibração/certificação]]-TODAY())</f>
        <v>305</v>
      </c>
      <c r="M202" s="16" t="s">
        <v>1325</v>
      </c>
      <c r="N202" s="16" t="s">
        <v>586</v>
      </c>
      <c r="O202" s="16" t="s">
        <v>1326</v>
      </c>
      <c r="P202" s="9" t="s">
        <v>10</v>
      </c>
      <c r="Q202" s="16" t="s">
        <v>569</v>
      </c>
      <c r="R202" s="16" t="s">
        <v>496</v>
      </c>
    </row>
    <row r="203" spans="1:18" ht="22.5" x14ac:dyDescent="0.25">
      <c r="A203" s="10">
        <f>ROW(Tabela1[[#This Row],[Toolbox No / Container No]])-1</f>
        <v>202</v>
      </c>
      <c r="B203" s="10" t="s">
        <v>11</v>
      </c>
      <c r="C203" s="10" t="s">
        <v>1320</v>
      </c>
      <c r="D203" s="10" t="s">
        <v>1327</v>
      </c>
      <c r="E203" s="10" t="s">
        <v>1328</v>
      </c>
      <c r="F203" s="10" t="s">
        <v>1329</v>
      </c>
      <c r="G203" s="10" t="s">
        <v>880</v>
      </c>
      <c r="H203" s="10" t="s">
        <v>12</v>
      </c>
      <c r="I203" s="20" t="s">
        <v>1330</v>
      </c>
      <c r="J203" s="12">
        <v>45870</v>
      </c>
      <c r="K203" s="13">
        <f>EDATE(Tabela1[[#This Row],[Data da calibração/certificação ]],12)</f>
        <v>46235</v>
      </c>
      <c r="L203" s="14">
        <f ca="1">INT(Tabela1[[#This Row],[Próxima data de calibração/certificação]]-TODAY())</f>
        <v>305</v>
      </c>
      <c r="M203" s="16" t="s">
        <v>1331</v>
      </c>
      <c r="N203" s="16" t="s">
        <v>586</v>
      </c>
      <c r="O203" s="16" t="s">
        <v>1332</v>
      </c>
      <c r="P203" s="9" t="s">
        <v>10</v>
      </c>
      <c r="Q203" s="16" t="s">
        <v>570</v>
      </c>
      <c r="R203" s="16" t="s">
        <v>1334</v>
      </c>
    </row>
  </sheetData>
  <hyperlinks>
    <hyperlink ref="I16" r:id="rId1" display="HBS 003807 - 06649_25 - ANDRITZ - MCXL-COM PADRÃO" xr:uid="{6771D15E-F91D-4E26-AEA0-29374F093BD6}"/>
    <hyperlink ref="I17" r:id="rId2" display="HBS 003806 CERT 06650_2025" xr:uid="{E4D1B87E-7F5E-4DEE-81E6-1546AB755BD7}"/>
    <hyperlink ref="I12" r:id="rId3" display="https://drive.google.com/file/d/1uMqUnmk4laU0se2Jz33uj6rlwsDGsEMT/view?usp=drive_link" xr:uid="{4E44C5AB-3025-4495-98FB-42DE6C185558}"/>
    <hyperlink ref="I62" r:id="rId4" display="HBS003827 CERT.2500176-25 MEDIDOR DE ESPESSURA DE CAMADA-COM PADRÃO" xr:uid="{46E3401A-BE74-4A10-A6D6-6B6E891B1080}"/>
    <hyperlink ref="I157" r:id="rId5" display="JAG_000052_Certificado 1063 TH-2611-COM PADRÃO " xr:uid="{28BE4B46-1EF5-4E64-B7A7-0A872EAE3ADA}"/>
    <hyperlink ref="I158" r:id="rId6" display="JAG_000053_Certificado 1062 TH-2690-COM PADRÃO" xr:uid="{7D0FADA7-D7D4-400B-89D9-354B36C99275}"/>
    <hyperlink ref="I135" r:id="rId7" display="JAG 000051 CERT. 25424-38 Pirômetro -Termômetro Infravermelho A Laser Portatil-COM PADRÃO" xr:uid="{4AECFA4F-7ED6-40A3-A0D1-0042EDB324C0}"/>
    <hyperlink ref="I134" r:id="rId8" display="JAG 000050 CERT.19582-4HI Pirômetro -Termômetro Infravermelho A Laser Portatil-COM PADRÃO" xr:uid="{F153A981-5151-435A-895A-8D9B7DA2F3C5}"/>
    <hyperlink ref="I19" r:id="rId9" display="HBS003655 CERT.10279 DETECTOR PORTÁTIL  DE GAS-COM PADRÃO" xr:uid="{B426021A-0C91-4919-9929-329BFEF57AF4}"/>
    <hyperlink ref="I202" r:id="rId10" display="https://drive.google.com/file/d/1MxEPtMF74TgXlulVdxCILtYQW0KE_PDB/view?usp=drive_link" xr:uid="{37EFED90-07FA-4E80-819F-0642B8B22C42}"/>
    <hyperlink ref="I116" r:id="rId11" display="https://drive.google.com/file/d/186q7RsNonrWVc-hs-ug8THyPAkJY4Nd-/view?usp=drive_link" xr:uid="{7996D9FE-5A17-476F-927F-F58918ED509F}"/>
    <hyperlink ref="I115" r:id="rId12" display="https://drive.google.com/file/d/1kjqnAZfVfUZTVfpBilkiDcqDgS2EYdPP/view?usp=drive_link" xr:uid="{EFEDD23C-C13A-44D8-8089-CAC67AA13EBD}"/>
    <hyperlink ref="I7" r:id="rId13" display="https://drive.google.com/file/d/1H9qjFEM1S5Q-yBO-Cp3jHPOCYKZU7zaD/view?usp=drive_link" xr:uid="{3BFDB376-7CFB-4DD6-BA33-A8D591FDAFA4}"/>
    <hyperlink ref="I8" r:id="rId14" display="https://drive.google.com/file/d/1VGaoJHaN7ykox_fxIcBJSJWmeTh7vBOH/view?usp=drive_link" xr:uid="{2C096EF0-E764-446C-8B2E-E8F2ACED5DF0}"/>
    <hyperlink ref="I155" r:id="rId15" display="https://drive.google.com/file/d/1IKxlQkrRqG2ol-64t5hSL4tKmvteVHvG/view?usp=drive_link" xr:uid="{B0E5D20F-F705-424B-A933-00DFB53BFE6D}"/>
    <hyperlink ref="I156" r:id="rId16" display="https://drive.google.com/file/d/1D1lNKXv-ZtOugRKcXFbFXjDdX1F-bliX/view?usp=drive_link" xr:uid="{8A1B3842-E03D-4FF6-8A33-C5AD4D5D2699}"/>
    <hyperlink ref="I170" r:id="rId17" display="https://drive.google.com/file/d/1ZgdAfVEylXUSB2HtZZHXA6lBusFtFETx/view?usp=drive_link" xr:uid="{88E1AEED-7EA3-4E22-B5DD-21664F792EBA}"/>
    <hyperlink ref="I163" r:id="rId18" display="https://drive.google.com/file/d/1Grp8hNJiCG-hFfGj9go2_pL2ng91KN7d/view?usp=drive_link" xr:uid="{535449BC-F2DD-4A5B-981F-768B31A1F338}"/>
    <hyperlink ref="I164" r:id="rId19" display="https://drive.google.com/file/d/1nuoSrmLTSeyrb1LGQgqyu2FOcY32CJJO/view?usp=drive_link" xr:uid="{5478F5CC-3758-4C71-BEAA-10F0C95F71D1}"/>
    <hyperlink ref="I133" r:id="rId20" display="HBS003864 CERT.65176-25 PAQUIMETRO PROFUNDIDADE 0-300x0,05mm - COM PADRÃO" xr:uid="{70CA7B7B-9B46-4A4B-A7E1-0C5F82E6F5BA}"/>
    <hyperlink ref="I166" r:id="rId21" display="HBS003865  CERT. 65186-25 TERMÔMETRO INFRAVERMELHO 50º  a 800 º-COM PADRÃO" xr:uid="{F0FEF2F2-3A2C-4DB9-AA05-58CFEC133F45}"/>
    <hyperlink ref="I167" r:id="rId22" display="HBS003866  CERT. 65185-25 TERMÔMETRO INFRAVERMELHO 50º  a 800 º-COM PADRÃO" xr:uid="{29E8E410-5AF5-4899-85E1-A3935BE542F1}"/>
    <hyperlink ref="I120" r:id="rId23" display="HBS003863 CERT.65181-25 Paquimetro Universal  0-150x0,02mm" xr:uid="{77104276-A5F3-4FB3-8467-038589ACEE8A}"/>
    <hyperlink ref="I121" r:id="rId24" display="HBS003860 CERT.65184-25 Paquimetro Universal  0-150x0,02mm-COM PADRÃO" xr:uid="{C8CE4804-E0FB-4141-9E7B-D04EC67FA80A}"/>
    <hyperlink ref="I122" r:id="rId25" display="HBS003861 CERT.65183-25 Paquimetro Universal  0-150x0,02mm-COM PADRÃO" xr:uid="{1D937E6B-FE11-4D89-A642-E16C5EEEB3F2}"/>
    <hyperlink ref="I119" r:id="rId26" display="https://drive.google.com/file/d/15krf4Jhc_zN8HsGHbSkuFUMTUslTW21F/view?usp=drive_link" xr:uid="{EC50D1AE-AC24-48CD-B878-D1304BF08235}"/>
    <hyperlink ref="I9" r:id="rId27" display="HBS 002489 CERT. 63147-25  BALANÇA DIGITAL 10000 Kg x 1 g-COM PADRÃO" xr:uid="{AEB5D3D1-548A-4FF1-8F91-7587D32AF5A9}"/>
    <hyperlink ref="I4" r:id="rId28" display="JAG000107 CERT.63189-25 ALICATE AMPERIMETRO DIGITAL 750V-COM PADRÃO " xr:uid="{9AEC4B54-CA5F-4401-B156-F73FB1757FE5}"/>
    <hyperlink ref="I185" r:id="rId29" display="HBS001480 CERT.61778-24 TRANSFERIDOR DE ANGULOS 0-180X1-COM PADRÃO" xr:uid="{F2B1C45B-869A-4573-B5D6-40428919FF00}"/>
    <hyperlink ref="I14" r:id="rId30" display="JAG 000106 CERT.453968710156-25 DETECTOR DE TENSÃO-COM PADRÃO" xr:uid="{F35B28F9-D9D7-4EA3-9C38-876E43F6EE67}"/>
    <hyperlink ref="I27" r:id="rId31" display="HBS002964 CERT.64532-25  ESCALA DE AÇO GRADUADA 0-1500x1,0mm-COM PADRÃO" xr:uid="{5AE0248B-56C2-4A11-839B-0732DA4669D0}"/>
    <hyperlink ref="I60" r:id="rId32" display="HBS002344 CERT.63154-25 MEDIDOR DE ESPESSURA DE CAMADAS (FERROSO) 0-2000-COM PADRÃO" xr:uid="{AC03D1E0-D602-481F-8E12-67495F47C659}"/>
    <hyperlink ref="I49" r:id="rId33" display="HBS 003800- CERT.65153-25  MANOMETRO ANALOGICO 0-700  x 10 Kgf-COM PADRÃO" xr:uid="{41EC6AFB-E8ED-4EF3-86AD-E5F1604C5A29}"/>
    <hyperlink ref="I94" r:id="rId34" display="JAG000046 CERT.63187-25 MULTIMETRO DIGITAL 600V-COM PADRÃO" xr:uid="{F06C53D9-C5D4-4995-9CD9-1AF1BD617244}"/>
    <hyperlink ref="I161" r:id="rId35" display="HBS003792 CERT.64070-25 TERMÔHIGROMETRO DIGITAL   -10°a 50ºC-COM PADRÃO" xr:uid="{9A72F421-4E04-4FAC-937F-2595C475CEDB}"/>
    <hyperlink ref="I137" r:id="rId36" display="JAG.000095 - CERT.64108-25 RELOGIO  COMPARADOR  0-10x0,01mm-COM PADRÃO" xr:uid="{48634F81-46FC-417A-B21C-9A2AC47E33BF}"/>
    <hyperlink ref="I138" r:id="rId37" display="JAG.000096 CERT.64109-25 RELOGIO  COMPARADOR  0-10x0,01mm-COM PADRÃO" xr:uid="{D1023096-E536-45EE-9C82-80CA59081EBB}"/>
    <hyperlink ref="I140" r:id="rId38" display="JAG.000093 - CERT.64106-25 RELOGIO  COMPARADOR  0-10x0,01mm-COM PADRÃO" xr:uid="{C15575CB-5F3A-447C-9A96-489B24B85EB6}"/>
    <hyperlink ref="I142" r:id="rId39" display="JAG.000091 - CERT.64104-25 RELOGIO  COMPARADOR  0-10x0,01mm-COM PADRÃO" xr:uid="{81792E95-A90C-497D-86F4-083FBF5A7538}"/>
    <hyperlink ref="I143" r:id="rId40" display="JAG.000090 - CERT.64103-25 RELOGIO  COMPARADOR  0-10x0,01mm-COM PADRÃO" xr:uid="{C15F2643-40F1-497E-B616-F653DC478374}"/>
    <hyperlink ref="I141" r:id="rId41" display="JAG.000094 CERT.64107-25 RELOGIO  COMPARADOR  0-10x0,01mm-COM PADRÃO" xr:uid="{2DE99518-B6B6-4664-B2F5-9EA5EE9484A1}"/>
    <hyperlink ref="I139" r:id="rId42" display="JAG.000092 - CERT.64105-25  RELOGIO  COMPARADOR  0-10x0,01mm-COM PADRÃO" xr:uid="{A96F242C-E701-4D7A-8312-495A53787D36}"/>
    <hyperlink ref="I144" r:id="rId43" display="JAG 000089 CERT.64255-25 RELOGIO  COMPARADOR  0-10x0,01mm-COM PADRÃO" xr:uid="{5F95168F-F70A-4A06-AE17-8650A2AD2FBD}"/>
    <hyperlink ref="I181" r:id="rId44" display="HBS003195 CERT.65157-25 Torquimetro de estalo 150-750 Nm-COM PADRÃO" xr:uid="{53F3BC83-6B72-47EB-8B16-A325DA095C35}"/>
    <hyperlink ref="I18" r:id="rId45" display="HBS003188 Detector Portátil De Gás H2S 0-100-COM PADRÃO" xr:uid="{F1A98F15-07A6-4F2A-83F4-7374D32FDB57}"/>
    <hyperlink ref="I183" r:id="rId46" display="HBS003151 CERT.65156-25 TORQUIMETRO DE ESTALO  20-100 N.m-COM PADRÃO" xr:uid="{07E1CAA1-56E1-4DA5-9F80-58B58D149861}"/>
    <hyperlink ref="I44" r:id="rId47" display="HBS003002 - CERT.64251-25 MANÔMETRO ANALOGICO    0-10 x 0,2 Bar -COM PADRÃO" xr:uid="{00526F2A-589F-433D-9128-264ED94D43B9}"/>
    <hyperlink ref="I182" r:id="rId48" display="HBS002078 CERT.65697-25 TORQUIMETRO DE ESTALO 200-1000 Nm-COM PADRÃO" xr:uid="{3E549DAE-54D7-410C-9558-4F9541DB4E09}"/>
    <hyperlink ref="I65" r:id="rId49" display="HBS 002485 CERT.2507003A Megômetro Digital 10kV 20TΩ CAT IV 600 V-COM PADRÃO" xr:uid="{4A5DE281-4268-45AB-BEFB-FBAEF816920D}"/>
    <hyperlink ref="I90" r:id="rId50" display="HBS 000081 CERT.2507001A MICRÔMETRO TUBULAR INTERNO-COM PADRÃO" xr:uid="{5C9CE39E-1406-42FD-9B39-E512585E2462}"/>
    <hyperlink ref="I145" r:id="rId51" display="HBS002262 CERT.65166-25 RELOGIO  COMPARADOR  0-10x0,01mm-COM PADRÃO" xr:uid="{3E165C64-370F-46F7-9BCE-0C2A69633B4A}"/>
    <hyperlink ref="I6" r:id="rId52" display="HBS002056 CERT.65173-25 ALICATE AMPERIMETRO DIGITAL 750V 1000 V-COM PADRÃO" xr:uid="{B8F9FC01-601C-4F6C-8F19-8096D2C0F6B2}"/>
    <hyperlink ref="I123" r:id="rId53" display="HBS002059 CERT.65464-25  Paquimetro universal  0-150x0,05mm-COM PADRÃO" xr:uid="{C9A2D83E-28B9-4B81-B994-4BA735D771B2}"/>
    <hyperlink ref="I171" r:id="rId54" display="HBS002585 -CERT.65080-25  Torquimetro de estalo 750-2000 Nm-COM PADRÃO" xr:uid="{A7C14C45-7D14-462D-8867-D38C88FB9A5E}"/>
    <hyperlink ref="I40" r:id="rId55" display="JAG000150 CERT.66488-25  ESQUADRO COM BASE  190 x 300mm - COM PADRÃO" xr:uid="{A8F8070C-0D76-44C9-B2F9-60FC17B296AE}"/>
    <hyperlink ref="I41" r:id="rId56" display="JAG000169 CERT.66489-25  ESQUADRO COM BASE  160 x 300mm-COM PADRÃO" xr:uid="{63433BFF-EAE6-460D-80BF-826A8F6922E0}"/>
    <hyperlink ref="I42" r:id="rId57" display="JAG000148 CERT.66487-25  ESQUADRO COM BASE  130 x 300mm-COM PADRÃO" xr:uid="{2F5D2CB1-DF2A-4805-B56C-7E413303C17A}"/>
    <hyperlink ref="I95" r:id="rId58" display="JAG000144 CERT.66512-25  Nível de bolha com 2 bolhas 305 X 55 X 20 mm-COM PADRÃO" xr:uid="{8674C9AE-761C-4B22-912A-4361C4F9D311}"/>
    <hyperlink ref="I96" r:id="rId59" display="JAG000145 CERT.66513-25  Nível de bolha com 2 bolhas 305 X 55 X 20 mm-COM PADRÃO " xr:uid="{1DCE5DD1-EE7F-47D6-9FC7-BBCA941129BC}"/>
    <hyperlink ref="I97" r:id="rId60" display="JAG000179 CERT.66503-25  Nível de bolha com 3bolhas  hor vert  600 x 55mm-COM PADRÃO " xr:uid="{975CD308-E902-462B-BA6A-AD1CACD1EF70}"/>
    <hyperlink ref="I98" r:id="rId61" display="JAG000151 CERT.66477-25  Nível de bolha com 3bolhas  hor vert 45  300 mm24-COM PADRÃO " xr:uid="{FBD15000-97B3-4511-97E6-FAAE067815DC}"/>
    <hyperlink ref="I99" r:id="rId62" display="JAG000152 CERT.66476-25  Nível de bolha com 3bolhas  hor vert 45  300 mm24-COM PADRÃO" xr:uid="{FD11E07D-98EF-4C9E-A662-5912FB3B9A92}"/>
    <hyperlink ref="I100" r:id="rId63" display="JAG000153 CERT.66475-25  Nível de bolha com 3bolhas  hor vert 45  300 mm24-COM PADRÃO" xr:uid="{1FD0AF96-6002-4F18-8641-C76CA059A2BD}"/>
    <hyperlink ref="I101" r:id="rId64" display="JAG000154 CERT.66474-25  Nível de bolha com 3bolhas  hor vert 45  300 mm24-COM PADRÃO " xr:uid="{9243BB5B-6EE4-4E68-B8AF-4FAC1AF09D54}"/>
    <hyperlink ref="I102" r:id="rId65" display="JAG000155 CERT.66507-25  Nível de bolha com 3bolhas  hor vert 300 x 55mm-COM PADRÃO" xr:uid="{09CBF2F1-F0A4-4D91-B5B5-17BC6A64D91A}"/>
    <hyperlink ref="I103" r:id="rId66" display="JAG000156 CERT.66506-25  Nível de bolha com 3bolhas  hor vert 300 x 55mm-COM PADRÃO" xr:uid="{3DD137D8-F1E9-40FA-A9E6-6F7D3239DB4D}"/>
    <hyperlink ref="I104" r:id="rId67" display="JAG000157 CERT.66509-25  Nível de bolha com 3bolhas  hor vert 300 x 55mm-COM PADRÃO" xr:uid="{50303A39-8920-4A7F-988F-86AF579C5201}"/>
    <hyperlink ref="I105" r:id="rId68" display="JAG000158 CERT.66508-25  Nível de bolha com 3bolhas  hor vert 300 x 55mm-COM PADRÃO" xr:uid="{7C57506E-7F8C-4F8D-A395-C65BBE7C3829}"/>
    <hyperlink ref="I106" r:id="rId69" display="JAG000159 CERT.66473-25  Nível de bolha com 3bolhas  hor vert 45  300 mm24-COM PADRÃO" xr:uid="{37B0C33B-5AAC-405F-8BD3-22DDA9024C26}"/>
    <hyperlink ref="I107" r:id="rId70" display="JAG000160 CERT.66472-25  Nível de bolha com 3bolhas  hor vert 45  300 mm24-COM PADRÃO" xr:uid="{321EB9EE-CAD0-480F-81A1-2B8335BE3EB8}"/>
    <hyperlink ref="I108" r:id="rId71" display="JAG000161 CERT.66502-25  Nível de bolha com 2 bolhas 305 X 55 X 20 mm-COM PADRÃO" xr:uid="{DB318779-F52C-40AE-ADE9-8CBBE5A8F9D4}"/>
    <hyperlink ref="I109" r:id="rId72" display="JAG000162 CERT.66504-25  Nível de bolha com 2 bolhas 305 X 55 X 20 mm-COM PADRÃO" xr:uid="{9D2F3CD5-1BA0-4FF9-989C-EB71CC176ED3}"/>
    <hyperlink ref="I110" r:id="rId73" display="JAG000163 CERT.66505-25  Nível de bolha com 2 bolhas 305 X 55 X 20 mm-COM PADRÃO" xr:uid="{502F5313-BFF8-4B24-82E9-C5ACFDFA3821}"/>
    <hyperlink ref="I111" r:id="rId74" display="JAG000164 CERT.66510-25  Nível de bolha com 2 bolhas 305 X 55 X 20 mm-COM PADRÃO" xr:uid="{B094A31D-7C9B-49FA-80D8-F111A095F400}"/>
    <hyperlink ref="I112" r:id="rId75" display="JAG000165 CERT.66511-25  Nível de bolha com 2 bolhas 305 X 55 X 20 mm-COM PADRÃO" xr:uid="{258B36FF-2E75-4FA9-AFFB-08680F00273F}"/>
    <hyperlink ref="I113" r:id="rId76" display="JAG000147 CERT.66515-25  Nível de bolha com 3bolhas  hor vert 400 x 55mm-COM PADRÃO" xr:uid="{8589FEC1-E312-4886-8A4F-FB1D6BBE2037}"/>
    <hyperlink ref="I114" r:id="rId77" display="JAG000146 CERT.66514-25  Nível de bolha com 2 bolhas 305 X 55 X 20 mm-COM PADRÃO" xr:uid="{10585A36-021B-4A68-AD67-58D07E4BA803}"/>
    <hyperlink ref="I192" r:id="rId78" display="HBS002577 CERT.66516-25 Trena aço 0-20000x1,0mm-COM PADRÃO" xr:uid="{1D3DD775-E2FB-43AB-91A8-4EAC06CCD904}"/>
    <hyperlink ref="I193" r:id="rId79" display="JAG000143 - CERT.66519-24 Trena DE AÇO  0-3000x 1,0mm-COM PADRÃO." xr:uid="{C1A91178-E0A5-4849-A64C-1892DFC9CF29}"/>
    <hyperlink ref="I194" r:id="rId80" display="JAG000166 - CERT.66471-24 Trena DE AÇO  0-3000x 1,0mm-COM PADRÃO" xr:uid="{C82DF0C4-6D35-432E-B46D-6D33AF783584}"/>
    <hyperlink ref="I195" r:id="rId81" display="HBS003663 CERT.66522-25 TRENA AÇO 0-30000 x1,0mm-COM PADRÃO" xr:uid="{07501DA8-A6A5-4D5B-96B4-1910EDF02F6C}"/>
    <hyperlink ref="I196" r:id="rId82" display="JAG000139 - CERT.66520-24 TRENA DE AÇO  0-5000x 1,0mm-COM PADRÃO" xr:uid="{DCE7D50E-7525-4F0C-85E5-CBFE04A0284F}"/>
    <hyperlink ref="I197" r:id="rId83" display="JAG000140 - CERT.66517-24 TRENA DE AÇO  0-5000x 1,0mm-COM PADRÃO" xr:uid="{C9A8E4D0-7CA2-4265-A1D9-F4E58457DA12}"/>
    <hyperlink ref="I198" r:id="rId84" display="JAG000141 - CERT.66518-24 TRENA DE AÇO  0-5000x 1,0mm-COM PADRÃO" xr:uid="{7F70BD22-C4C0-4B27-B642-FF0472E91102}"/>
    <hyperlink ref="I199" r:id="rId85" display="JAG000142 - CERT.66521-24 TRENA DE AÇO  0-5000x 1,0mm-COM PADRÃO" xr:uid="{6584ECB9-A7F2-4995-92C9-95888C1A1B3D}"/>
    <hyperlink ref="I200" r:id="rId86" display="JAG000167 - CERT.66470-24 Trena DE AÇO  0-5000x 1,0mm-COM PADRÃO" xr:uid="{71D0C32F-9D08-4863-B15E-E2F40624EABA}"/>
    <hyperlink ref="I201" r:id="rId87" display="JAG000168 - CERT.66469-24 Trena DE AÇO  0-5000x 1,0mm-COM PADRÃO" xr:uid="{6726E228-E777-42B3-955B-EB9BB6175438}"/>
    <hyperlink ref="I117" r:id="rId88" display="HBS 000980 CERT. HZ-RT-509-25 - Nível Óptico 30 X - 0,2mm por Km duplo-COM PADRÃO" xr:uid="{C62E8C04-C1D9-46AD-A199-4A575C23D7EF}"/>
    <hyperlink ref="I118" r:id="rId89" display="HBS 003930 CERT. HZ-RT-510-25 - Nível Óptico 30 X - 0,2mm por Km duplo-COM PADRÃO" xr:uid="{005B41A4-372F-44AE-8EBF-37E3FED34752}"/>
    <hyperlink ref="I11" r:id="rId90" display="HBS003847 CERT.63175-25  BALANÇA DIGITAL 300 Kg x 50 g-COM PADRÃO" xr:uid="{BDB1D8F4-C7B5-4F1C-80B8-06A7105E7124}"/>
    <hyperlink ref="I5" r:id="rId91" display="HBS003791CERT.64017-25 ALICATE AMPERIMETRO DIGITAL 1000A-COM PADRÃO" xr:uid="{70B281B1-AE65-4107-A419-D68237934FA7}"/>
    <hyperlink ref="I186" r:id="rId92" display="HBS003661 CERT.62121-25 TRANSFERIDOR DE ANGULOS 0-180X1-COM PADRÃO" xr:uid="{BFA22108-419B-490C-BC87-A5DEB580191F}"/>
    <hyperlink ref="I187" r:id="rId93" display="HBS003662 CERT.62123-25 TRANSFERIDOR DE ANGULOS 0-180X1-COM PADRÃO" xr:uid="{39F639EA-A6A9-411F-BBA3-0EF3FB83F1F5}"/>
    <hyperlink ref="I188" r:id="rId94" display="HBS003659 CERT.62122-25 TRANSFERIDOR DE ANGULOS 0-180X1-COM PADRÃO" xr:uid="{60126361-0950-453F-94B4-D4CFB5B6C592}"/>
    <hyperlink ref="I189" r:id="rId95" display="HBS003660 CERT.62119-25 TRANSFERIDOR DE ANGULOS 0-180X1-COM PADRÃO" xr:uid="{13DF33F3-F549-4C16-895D-0353815165C0}"/>
    <hyperlink ref="I190" r:id="rId96" display="HBS003658 CERT.62120-25 TRANSFERIDOR DE ANGULOS 0-180X1-COM PADRÃO" xr:uid="{FBB149DE-F4B1-4FE3-B499-F733D14440C7}"/>
    <hyperlink ref="I153" r:id="rId97" display="HBS003653 CERT.62208-25 MEDIDOR DE RUGOSIDADE COM RELOGIO 0-1 x 0,001mm-COM PADRÃO" xr:uid="{97A9F973-3DA2-49B7-A258-BF4AB2BE3612}"/>
    <hyperlink ref="I3" r:id="rId98" display="HBS 003651 CERT. 62195-25 ALICATE AMPERIMETRO DIGITAL 600V " xr:uid="{897FF1E8-8C20-4EEB-BC3A-D849AFE6EAEE}"/>
    <hyperlink ref="I2" r:id="rId99" display="HBS003652 CERT.62194-25 ALICATE AMPERIMETRO DIGITAL 600V-COM PADRÃO" xr:uid="{8D2B79F7-01C2-4F68-ACAB-AD4556BB6814}"/>
    <hyperlink ref="I83" r:id="rId100" display="JAG000016 CERT.63155-25 MICROMETRO EXTERNO DIGITAL 100-125x 0,01mm-COM PADRÃO" xr:uid="{B8F0429A-E7A0-4935-B065-9BD0A54372ED}"/>
    <hyperlink ref="I91" r:id="rId101" display="HBS003537 CERT.64072-25 Micrometro interno tubular 50-1500x0,01mm-COM PADRÃO" xr:uid="{E91607DA-E804-49F0-B674-6FAB3F5C0B31}"/>
    <hyperlink ref="I92" r:id="rId102" display="HBS003536 CERT.64073-25 Micrometro interno tubular 50-1500x0,01mm-COM PADRÃO" xr:uid="{3713258C-9416-42CB-B6DB-650191F0E246}"/>
    <hyperlink ref="I68" r:id="rId103" display="HBS003520 CERT.64074-25 Micrometro profundidade  0-100x 0,01mm-COM PADRÃO" xr:uid="{9CC86268-487D-4214-8E48-27CDE9BA4ADD}"/>
    <hyperlink ref="I127" r:id="rId104" display="HBS000870 CERT.62866-25 Paquimetro digital 0-150x0,01mm-COM PADRÃO" xr:uid="{27CC424B-0C8A-45B7-9CA7-68945C691B91}"/>
    <hyperlink ref="I85" r:id="rId105" display="HBS 003545 CERT. 2504002A MICRÔMETRO INTERNO 3 PONTAS 30-35 -COM PADRÃO" xr:uid="{1C850B5A-F694-4BED-9ACB-6B75108FAEAB}"/>
    <hyperlink ref="I84" r:id="rId106" display="HBS 003544 CERT. 2504001A - MICRÔMETRO INTERNO 3 PONTAS 25-30MM-COM PADRÃO" xr:uid="{97E1B2FA-1698-4501-840C-8098057794F4}"/>
    <hyperlink ref="I87" r:id="rId107" display="HBS 003543 CERT. 2504004A Micrômetro Interno 3 Pontas 50-60mm-COM PADRÃO" xr:uid="{21A0CC5D-663F-45C0-B19B-6B4C3CFF038F}"/>
    <hyperlink ref="I88" r:id="rId108" display="HBS 003540 CERT.2504005A Micrômetro Interno 3 Pontas 60-70mm-COM PADRÃO" xr:uid="{53C5DB1E-C28B-4DAE-B39C-CDF6DBCFA318}"/>
    <hyperlink ref="I89" r:id="rId109" display="HBS 003541 CERT.2504006A Micrômetro Interno 3 Pontas 70-80mm-COM PADRÃO" xr:uid="{D23EF14B-6EDC-4C58-99ED-A04A8D0B738B}"/>
    <hyperlink ref="I128" r:id="rId110" display="HBS003183 CERT.63149-25 Paquimetro digital 0-150x0,01mm-COM PADRÃO" xr:uid="{25349504-E7FB-4B9B-9F3B-7737C9EBE5AA}"/>
    <hyperlink ref="I179" r:id="rId111" display="HBS000556 - CERT.64284-25 Torquimetro de estalo 10-150 Nm-COM PADRÃO" xr:uid="{FDFB4B72-001F-4DC9-AE8C-4A949F3FA17F}"/>
    <hyperlink ref="I10" r:id="rId112" display="HBS 003148 CERT. 63148-25  BALANÇA DIGITAL 10000 Kg x 1 g-COM PADRÃO" xr:uid="{3C52FABE-57DD-4CCD-911A-374A77493F82}"/>
    <hyperlink ref="I20" r:id="rId113" display="HBS003147 CERT.10279 Detector Portátil De Gás H2S 0-100 Ppm-COM PADRÃO" xr:uid="{CF9CF358-9524-4D25-BE5D-91D9791D0BB0}"/>
    <hyperlink ref="I162" r:id="rId114" display="HBS003103 CERT.64070-25 TERMÔHIGROMETRO DIGITAL   -10°a 50ºC-COM PADRÃO" xr:uid="{2CE3F176-F121-42C0-96E7-C8D3FD79DCA5}"/>
    <hyperlink ref="I93" r:id="rId115" display="HBS.001128 CERT.62446-25 Mira de aluminio - bolha nivelamento-COM PADRÃO" xr:uid="{78CE3BFD-C862-42E9-9E5C-382AC5848CBB}"/>
    <hyperlink ref="I86" r:id="rId116" display="HBS 000604 Cert.2504003A Micrômetro Interno 3 Pontas 35-40mm-COM PADRÃO" xr:uid="{B96FA441-B878-46E0-8570-46EFACF6168C}"/>
    <hyperlink ref="I191" r:id="rId117" display="HBS001126 CERT.61777-24 TRANSFERIDOR DE ANGULOS 0-180X1-COM PADRÃO" xr:uid="{52D20957-5D96-40F9-A17C-8F912AA070EF}"/>
    <hyperlink ref="I159" r:id="rId118" display="HBS002853 CERT.63429-25 TERMÔHIGROMETRO DIGITAL   -10°a 50ºC-COM PADRÃO" xr:uid="{F6BB9F19-2EE9-4897-99EA-701D1958572D}"/>
    <hyperlink ref="I54" r:id="rId119" display="https://drive.google.com/file/d/1yZqNqeZ3i-JQ_lqKvpBf0gl21cfg581k/view?usp=drive_link" xr:uid="{BABFA616-1470-4239-86AB-72C6453BB861}"/>
    <hyperlink ref="I55" r:id="rId120" display="https://drive.google.com/file/d/15F66JvUZRMDPxEQ3epixGe7wvObocTu4/view?usp=drive_link" xr:uid="{FDDD6C65-8DCB-4196-8FB0-5AE1680091E8}"/>
    <hyperlink ref="I53" r:id="rId121" display="https://drive.google.com/file/d/13Sfr_lxUgCBEdl01zsLvLmDr2AvMQW2l/view?usp=drive_link" xr:uid="{E5A75D4D-88FF-42DE-B1F3-E1231CE3E786}"/>
    <hyperlink ref="I56" r:id="rId122" display="https://drive.google.com/file/d/1vVjdeDbQ05PRp_1K9n2OH2-8tuKi7_jV/view?usp=drive_link" xr:uid="{1300A078-7512-4610-ADD5-8E7EE239A747}"/>
    <hyperlink ref="I57" r:id="rId123" display="https://drive.google.com/file/d/1XO5MKH5o8pOddnakIdIBWMWHVToKgWei/view?usp=drive_link" xr:uid="{F09DCFA3-2806-4BD1-9FF4-4F2FDD978235}"/>
    <hyperlink ref="I58" r:id="rId124" display="https://drive.google.com/file/d/1iyFFuDj1HX_X3iNZlrgp4CSM6UKekB-8/view?usp=drive_link" xr:uid="{89429D7C-37D9-4E00-B44D-128DC5968889}"/>
    <hyperlink ref="I51" r:id="rId125" display="https://drive.google.com/file/d/1GKlaOiv76EWjSkD7_NPd98YJOqwlNoQc/view?usp=drive_link" xr:uid="{443F4D42-678F-4E6F-AE9F-87638CF48035}"/>
    <hyperlink ref="I50" r:id="rId126" display="https://drive.google.com/file/d/1rlch3w67HZ6EnhwPrNWrfP5srzkX8UVu/view?usp=drive_link" xr:uid="{177A4288-7AEC-4B3E-B6C3-B155DF8EE1D4}"/>
    <hyperlink ref="I59" r:id="rId127" display="https://drive.google.com/file/d/1vCdXm3uLjFlahIPbDJmERfW3BLk-tLPH/view?usp=drive_link" xr:uid="{75525668-9BC8-4DFD-9C2A-B4F79945E696}"/>
    <hyperlink ref="I47" r:id="rId128" display="https://drive.google.com/file/d/1ecLEty3Ssb5rlv54mYBGsam7RVhvGu3f/view?usp=drive_link" xr:uid="{E4C77CF9-0FC3-488A-A12F-06986AE5AE81}"/>
    <hyperlink ref="I30" r:id="rId129" display="https://drive.google.com/file/d/1zKt9vm6H_dcxFMg-z-vGoCDSSMjB9kFk/view?usp=drive_link" xr:uid="{B0754BF1-8332-4E8F-9EC3-7CA2F0BFD2A6}"/>
    <hyperlink ref="I168" r:id="rId130" display="https://drive.google.com/file/d/10KJTAQjK7ro05HS2EaKp9usB0zyErf9O/view?usp=drive_link" xr:uid="{E2E8DBE7-3116-40B5-8D56-5B7738B04BA8}"/>
    <hyperlink ref="I169" r:id="rId131" display="https://drive.google.com/file/d/1ERiOB1VZSWyybGMOpBtOu33okORIg9kv/view?usp=drive_link" xr:uid="{0F3DA7A8-AF29-4315-AC92-1B48CDDBA577}"/>
    <hyperlink ref="I22" r:id="rId132" display="https://drive.google.com/file/d/1Tc8pF8FD7VJ4mKn_ssfy8oPVsR3Mg9qj/view?usp=drive_link" xr:uid="{C1461DE2-F147-4CC4-8FAC-7EDFAEA08F60}"/>
    <hyperlink ref="I23" r:id="rId133" display="https://drive.google.com/file/d/1AGal7Pes4tSgiQZqkbaSDaa6flXD2FDl/view?usp=drive_link" xr:uid="{A476578B-8604-430B-8617-31D0A4F8AC5E}"/>
    <hyperlink ref="I31" r:id="rId134" display="https://drive.google.com/file/d/1wsQNWPzifij6e42N2-1gzTvv_w5NRPuB/view?usp=drive_link" xr:uid="{8ADE1C3C-25AA-45D9-946E-2A32965ED22E}"/>
    <hyperlink ref="I34" r:id="rId135" display="https://drive.google.com/file/d/1uXxwkaVOmGPENgVt-NQoGRJJkTF13Koa/view?usp=drive_link" xr:uid="{706CFA42-6BBE-4AE4-A8E9-510C0FD8AF78}"/>
    <hyperlink ref="I35" r:id="rId136" display="https://drive.google.com/file/d/1KmAJaN4chtydjt6TSNi_Y2kz7IqSohu_/view?usp=drive_link" xr:uid="{5D304324-D00A-4A57-B10E-3BA79EA3D4E3}"/>
    <hyperlink ref="I36" r:id="rId137" display="hbs 002358 64537_2025" xr:uid="{F693AEB7-DEDF-4F8B-9FA1-B3B0C7DBA58C}"/>
    <hyperlink ref="I37" r:id="rId138" display="https://drive.google.com/file/d/1MC2H2ZaBgXJms-bzG34b_erz3E8Ni520/view?usp=drive_link" xr:uid="{CB873C39-2F3F-4CC7-991F-D8CF874EAF7D}"/>
    <hyperlink ref="I63" r:id="rId139" display="https://drive.google.com/file/d/1KvXTvqHQ-i0Rk97MRyYnNCjd1YNHlFJU/view?usp=drive_link" xr:uid="{A8DC162D-41BC-4DA4-AB7A-0EF03AB3485D}"/>
    <hyperlink ref="I69" r:id="rId140" display="https://drive.google.com/file/d/1noIu-RGBh0ITAX0OnDqClI9iSR4LH4Ee/view?usp=drive_link" xr:uid="{A93262DD-6794-4D31-B92F-F72725DEB078}"/>
    <hyperlink ref="I125" r:id="rId141" display="https://drive.google.com/file/d/1LotbyQlZ3g9WBnJ7aqTTkbFRXxffraaT/view?usp=drive_link" xr:uid="{F4242C8B-8A38-4330-8754-F497B80F5FFF}"/>
    <hyperlink ref="I129" r:id="rId142" display="https://drive.google.com/file/d/1-LJbu4zwSH9-dwEA-jYJWQcqzjE5k6Sb/view?usp=drive_link" xr:uid="{1A21FCAC-DA43-4843-9A32-810128CDB722}"/>
    <hyperlink ref="I184" r:id="rId143" display="https://drive.google.com/file/d/1l7zZXQeZBOLzWEHo-WRc7LrUQqva-5c6/view?usp=drive_link" xr:uid="{B4AAC796-D63B-437B-A6B1-65C6F038AD00}"/>
    <hyperlink ref="I45" r:id="rId144" display="https://drive.google.com/file/d/1uurFgqwgFxhzvFIoDaTke7j4gNnLB0CF/view?usp=drive_link" xr:uid="{76D04CC3-8AA8-4358-8D52-1A0C2B5F94D9}"/>
    <hyperlink ref="I46" r:id="rId145" display="https://drive.google.com/file/d/1sCe1wPhBDO9jcVzHzf8ZJNJxY-PoU0B8/view?usp=drive_link" xr:uid="{086A8ADF-578E-4559-A97B-A3210695D53F}"/>
    <hyperlink ref="I39" r:id="rId146" display="https://drive.google.com/file/d/1zq9RQVago1L9GF0gi7MjdYZZv2ZTwKq4/view?usp=drive_link" xr:uid="{698B3B4B-1518-4EF5-87E8-29016C28F570}"/>
    <hyperlink ref="I24" r:id="rId147" display="https://drive.google.com/file/d/1N09O_FloBm9TglhtfJMfVGprBby-hUlq/view?usp=drive_link" xr:uid="{DDAFDB2A-1BBD-4127-9BB3-38525397CA16}"/>
    <hyperlink ref="I25" r:id="rId148" display="https://drive.google.com/file/d/1ncnQ1QsFtSHEdx9rJUGF7vKgSD3Y04id/view?usp=drive_link" xr:uid="{5CA96AC5-F594-4177-B444-7BDD8DC182EF}"/>
    <hyperlink ref="I21" r:id="rId149" display="https://drive.google.com/file/d/1mG4VLl6OMop168FD3ZOGd0SGy--WamT6/view?usp=drive_link" xr:uid="{DA0CBBE7-245B-4822-B4CB-CF9376C4FE21}"/>
    <hyperlink ref="I38" r:id="rId150" display="https://drive.google.com/file/d/1ehKWRyDpSz5VDkBUSL1L2hvMX8Xtb8fv/view?usp=drive_link" xr:uid="{7E979C75-6762-4537-8D2A-9D197308FD38}"/>
    <hyperlink ref="I26" r:id="rId151" display="https://drive.google.com/file/d/1LbF7G4PtRG6XLFgnmR28-T13i2V5veHU/view?usp=drive_link" xr:uid="{EC811C9F-BAC2-4D3C-AF76-7BB360BE5BFC}"/>
    <hyperlink ref="I28" r:id="rId152" display="https://drive.google.com/file/d/1ew-DGpbG_uIfQ35CL7zs-Ncja-_gXPxC/view?usp=drive_link" xr:uid="{D2267C34-D0FE-4D54-942D-6C72A8B731E8}"/>
    <hyperlink ref="I29" r:id="rId153" display="https://drive.google.com/file/d/1ON3eOxK7sow604PqDBQ59DEWaBgFa0B2/view?usp=drive_link" xr:uid="{50BBBD89-52CA-4CB1-88EF-29446296B34A}"/>
    <hyperlink ref="I32" r:id="rId154" display="https://drive.google.com/file/d/1J4UVIc0Ec7cCHdykqZAiel-8ApzkoA8b/view?usp=drive_link" xr:uid="{E3172114-007E-47E7-A0FD-00299002A457}"/>
    <hyperlink ref="I33" r:id="rId155" display="HBS 000845 64538_2025" xr:uid="{85F3C9AC-A72A-4B08-90C7-51AFBD0D723E}"/>
    <hyperlink ref="I48" r:id="rId156" display="https://drive.google.com/file/d/1sRjUl8QCYt5y_hXg-NRlVKFAy519YyJu/view?usp=drive_link" xr:uid="{7FF3A175-3A56-4E89-B5ED-776020FE77D7}"/>
    <hyperlink ref="I66" r:id="rId157" display="https://drive.google.com/file/d/1OxoFDhGlsKr9rVounY3E-TqajzevZiq7/view?usp=drive_link" xr:uid="{25517311-7F94-473B-958A-0201CC190B24}"/>
    <hyperlink ref="I67" r:id="rId158" display="https://drive.google.com/file/d/10aL9A0LnqBLNc2lfixtUYamzjvCWDVBX/view?usp=drive_link" xr:uid="{D06F58D7-DE7B-4542-BEA7-7329EF4DBE60}"/>
    <hyperlink ref="I13" r:id="rId159" display="HBS000656 CERT.10123 Decibelimetro L=35~100Db-COM PADRÃO" xr:uid="{AD51811F-5054-4568-9E26-C1A7F7B00137}"/>
    <hyperlink ref="I165" r:id="rId160" display="https://drive.google.com/file/d/13Ox4v_ovxYV7sY6b1NgGTQt58Z9U0EOq/view?usp=drive_link" xr:uid="{89884741-E0A4-413F-9C8F-8290184CA24E}"/>
    <hyperlink ref="I43" r:id="rId161" display="https://drive.google.com/file/d/1el0CRU9Es0c34ovacVLseKmT_eR0H-kC/view?usp=drive_link" xr:uid="{9EFBF877-C095-4BA8-872D-C18E674A2629}"/>
    <hyperlink ref="I79" r:id="rId162" display="https://drive.google.com/file/d/1sIrQ6a5W4cfb2UnEruGQZN5gF4gTISza/view?usp=drive_link" xr:uid="{CB190A1A-0871-4E11-84C8-6A9267F35D6D}"/>
    <hyperlink ref="I78" r:id="rId163" display="https://drive.google.com/file/d/1Lbv5WtHyIzbDN2KNoKqeWn5vI5JhipiB/view?usp=drive_link" xr:uid="{2541FF66-3D15-460F-B5EB-4B3EE53A2D3D}"/>
    <hyperlink ref="I76" r:id="rId164" display="https://drive.google.com/file/d/1P-bLW9jUcI68bAJnxLXIVucI4jwIckhu/view?usp=drive_link" xr:uid="{F42CE6B8-1E6B-45BE-8292-CDCD27B9716D}"/>
    <hyperlink ref="I61" r:id="rId165" display="https://drive.google.com/file/d/1N6I7iu9ME2eXOxbG2wJO1TsLxmLIVaFo/view?usp=drive_link" xr:uid="{B952FDEE-2761-49FB-80DC-B67E0919BAB2}"/>
    <hyperlink ref="I15" r:id="rId166" display="https://drive.google.com/file/d/1K35EWOSJZYJT08xOL6A0bs8W6yV3QVyQ/view?usp=drive_link" xr:uid="{A7D0F76C-83C0-4512-AF44-0944D657FD5D}"/>
    <hyperlink ref="I52" r:id="rId167" display="HBS003003 CERT.64062-25 MANÔMETRO ANALOGICO   0-14 x 0,2 Kgf -cm²-COM PADRÃO." xr:uid="{902A483F-66D6-4361-89A9-1A31395F696B}"/>
    <hyperlink ref="I64" r:id="rId168" display="HBS001004 CERT. 61782-24 calibrador de espessura tinta umida(wet film comb) 25-3000-COM PADRÃO" xr:uid="{CB80EA6E-C6AF-49E6-89C0-42EE0372422F}"/>
    <hyperlink ref="I151" r:id="rId169" display="https://drive.google.com/file/d/1D3MonqQCVJls2Ebc9el5Alc6EmlbNPiE/view?usp=drive_link" xr:uid="{CE1E0EA0-7634-470A-9497-77E27B15F16F}"/>
    <hyperlink ref="I152" r:id="rId170" display="https://drive.google.com/file/d/1NzvQtbYFevZLTTbsCGvYTyx9-NnxWXAj/view?usp=drive_link" xr:uid="{FDF41B91-DDB5-4572-996D-E2576F4164CD}"/>
    <hyperlink ref="I154" r:id="rId171" display="https://drive.google.com/file/d/1Q0K1O85U4OZdMXEb-8KEzA1oEiflJWDB/view?usp=drive_link" xr:uid="{DF070427-5919-40EE-A752-1EF2F69C929E}"/>
    <hyperlink ref="I160" r:id="rId172" display="https://drive.google.com/file/d/1UvRknE-RKH-NadUVBm5BFhlPJFUwWOLM/view?usp=drive_link" xr:uid="{6ECE1304-63F2-40E3-9868-548D3D1E16B6}"/>
    <hyperlink ref="I176" r:id="rId173" display="https://drive.google.com/file/d/1ohQm7tIHQp2a1e65xjLswGv8bAxe4SX2/view?usp=drive_link" xr:uid="{8F37BF76-E85E-4720-A612-D27050932A34}"/>
    <hyperlink ref="I70" r:id="rId174" display="https://drive.google.com/file/d/1TZP56ggzgfGVvU_xe44L4EY_q1-E4Cob/view?usp=drive_link" xr:uid="{1C4EA15C-4044-4DD2-968A-B667DBF192A3}"/>
    <hyperlink ref="I81" r:id="rId175" display="https://drive.google.com/file/d/13CQekC2IhUXLvy6XEAU98NkdiImMxgPT/view?usp=drive_link" xr:uid="{E9ADC938-7EA4-4D1E-B58B-E0E4C240652A}"/>
    <hyperlink ref="I82" r:id="rId176" display="https://drive.google.com/file/d/14cgdDQMrdRWkC-nuF1qeZwrsf6zpXuBI/view?usp=drive_link" xr:uid="{44E8C3B4-8090-4723-903D-6FA6B960D0F6}"/>
    <hyperlink ref="I71" r:id="rId177" display="https://drive.google.com/file/d/1RYuip9el_i1gUG0gQn8uBz1Its_NDLId/view?usp=drive_link" xr:uid="{C063010A-0CFA-4FFC-B1E7-B048E91CBC92}"/>
    <hyperlink ref="I72" r:id="rId178" display="https://drive.google.com/file/d/1ST4m6g7G5RUIQJQGFd2si5UeH9lOVB1M/view?usp=drive_link" xr:uid="{EF5B11E0-F7C6-4325-A9B4-98352FDB588D}"/>
    <hyperlink ref="I73" r:id="rId179" display="https://drive.google.com/file/d/1f-Bhl0_D7kNl2HBpI4Ly1IiBdpPC4uYr/view?usp=drive_link" xr:uid="{41F74B97-1657-4FF3-BEEB-8449AF1C7724}"/>
    <hyperlink ref="I74" r:id="rId180" display="https://drive.google.com/file/d/1_0jSmg8MRFPhdYMynxlvQ8IvRBrl_IZe/view?usp=drive_link" xr:uid="{153950CF-EFBB-4D62-8666-BD0980E51F4D}"/>
    <hyperlink ref="I75" r:id="rId181" display="https://drive.google.com/file/d/1zNbBWzmWimNsCxHPmooued2Ljt8Y6pcy/view?usp=drive_link" xr:uid="{27C68AC8-6885-479B-B6B7-E1D16CEDAB0A}"/>
    <hyperlink ref="I77" r:id="rId182" display="https://drive.google.com/file/d/1lggfIZtWIU58MW5zF4hlffFAhNt0JB9J/view?usp=drive_link" xr:uid="{CE22472B-FC77-48B0-B919-C368AAB36E6F}"/>
    <hyperlink ref="I80" r:id="rId183" display="https://drive.google.com/file/d/1Zz_is68Cu72eAi8IDhpne-fIjxr0ptCw/view?usp=drive_link" xr:uid="{FEC045F9-DB2D-4D9D-9965-4398C78AC06C}"/>
    <hyperlink ref="I130" r:id="rId184" display="https://drive.google.com/file/d/1odDPv32wNnk4Kt6dH6lX5kNKme5AmSh6/view?usp=drive_link" xr:uid="{A290BB33-6706-4A35-BAAC-AEC28A791060}"/>
    <hyperlink ref="I131" r:id="rId185" display="https://drive.google.com/file/d/1s8kBUTOYHtTWySISKax6ueTa2cYQpEg-/view?usp=drive_link" xr:uid="{E41306FA-5C4C-46FF-8655-C6BFBB5EB7EA}"/>
    <hyperlink ref="I132" r:id="rId186" display="https://drive.google.com/file/d/1Pfa0VKTcfIeKJlENWuc3G106Z1hJ-xpz/view?usp=drive_link" xr:uid="{2ACD8FF3-AD7D-43E3-85DF-4AB9C3D578E6}"/>
    <hyperlink ref="I126" r:id="rId187" display="https://drive.google.com/file/d/1CcVHr4hLxOG9PWd8mnuuWpCpWNTpybYJ/view?usp=drive_link" xr:uid="{FA1EADA7-7B34-467B-B5D5-86E6CEF488D2}"/>
    <hyperlink ref="I146" r:id="rId188" display="https://drive.google.com/file/d/10TXd_5qz_3iFkntU3hWLKvShMdKx-M_F/view?usp=drive_link" xr:uid="{228C88B9-AA2D-41EB-8B57-8C0E55B7E1CF}"/>
    <hyperlink ref="I136" r:id="rId189" display="https://drive.google.com/file/d/1AvUP291sfSXHFzaoFdo7S_Z8L0fDY_Q0/view?usp=drive_link" xr:uid="{DE11CB34-402D-4F27-9BB1-1ACB1C994D40}"/>
    <hyperlink ref="I172" r:id="rId190" display="https://drive.google.com/file/d/1MzVJQEFLNRuFdexc8ymzpYpBRCexVsu5/view?usp=drive_link" xr:uid="{C1F5877F-ACDF-4FEB-8C93-9F849A596CB6}"/>
    <hyperlink ref="I178" r:id="rId191" display="https://drive.google.com/file/d/16Zr1s1qukAE345Cdgonf02fN7c67A7ZQ/view?usp=drive_link" xr:uid="{D6F0F870-21D3-4206-91F9-CE54B8CBA0D5}"/>
    <hyperlink ref="I147" r:id="rId192" display="https://drive.google.com/file/d/15G-QbSEVgSj4ey2J_3MBIkmmbMu3LZ2d/view?usp=drive_link" xr:uid="{78DBC40B-0D8E-46F6-8054-9B83B40634DB}"/>
    <hyperlink ref="I180" r:id="rId193" display="https://drive.google.com/file/d/1LLKun1dnOn5RvND4yIJmJ1Z0QRV2Dl8B/view?usp=drive_link" xr:uid="{56DCE02F-C78E-464A-AD7B-A2B2C9034C5D}"/>
    <hyperlink ref="I148" r:id="rId194" display="https://drive.google.com/file/d/14Vze1zUZFHpKnb0gYQAajfCVVL3z8468/view?usp=drive_link" xr:uid="{BA8CE962-28BE-4BE7-BAF6-D8772AD02FD7}"/>
    <hyperlink ref="I124" r:id="rId195" display="https://drive.google.com/file/d/1YlXZwQeHQVyj12XU5pXO-tCW0eYnD-7h/view?usp=drive_link" xr:uid="{9EFC1ADC-A3F1-4B63-9401-E30952890FC9}"/>
    <hyperlink ref="I177" r:id="rId196" display="https://drive.google.com/file/d/1wZyrZ30aVJNmka3eC1VNhIWxhTnaK9WR/view?usp=drive_link" xr:uid="{DBCE4A38-EFE0-43E3-BBFB-C6A155B3A8A2}"/>
    <hyperlink ref="I173" r:id="rId197" display="https://drive.google.com/file/d/1fJA_iOtRAMC7d_4kit6lKwjcuMzhMAwb/view?usp=drive_link" xr:uid="{A5AE91C2-3EA6-4447-B2C7-031AFC6F625A}"/>
    <hyperlink ref="I174" r:id="rId198" display="https://drive.google.com/file/d/1buVZ1qpnwUiR5koROWPWm89ExZhorpKK/view?usp=drive_link" xr:uid="{9AC65EDA-EC49-48F4-9732-FE1AAB399139}"/>
    <hyperlink ref="I149" r:id="rId199" display="https://drive.google.com/file/d/1PSE34h_RZlnskyJU_5s1ueQQvf3qjuHg/view?usp=drive_link" xr:uid="{7CB09E4C-13AE-450F-99A6-A82CC32828F5}"/>
    <hyperlink ref="I175" r:id="rId200" display="https://drive.google.com/file/d/1htgFy4HYmgyJdrzCv8UPwuPktadA0XU9/view?usp=drive_link" xr:uid="{29BF86EB-0550-47F2-8E10-2027F011895F}"/>
    <hyperlink ref="I150" r:id="rId201" display="HBS002298 - CERT.65698-25 RELOGIO  COMPARADOR  0-10x0,01mm-COM PADRÃO" xr:uid="{36FDF1F2-3D5C-411F-8CD6-ED9A52D17D66}"/>
    <hyperlink ref="I203" r:id="rId202" xr:uid="{FBD2DD81-E011-4F76-8995-E0EE2B3C2561}"/>
  </hyperlinks>
  <pageMargins left="0.511811024" right="0.511811024" top="0.78740157499999996" bottom="0.78740157499999996" header="0.31496062000000002" footer="0.31496062000000002"/>
  <pageSetup orientation="portrait" horizontalDpi="300" verticalDpi="300" r:id="rId203"/>
  <ignoredErrors>
    <ignoredError sqref="I2:I203" calculatedColumn="1"/>
  </ignoredErrors>
  <tableParts count="1">
    <tablePart r:id="rId204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2025-09-30T04:04:51Z</dcterms:modified>
  <cp:category/>
  <cp:contentStatus/>
</cp:coreProperties>
</file>